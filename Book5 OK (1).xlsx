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LAPTOP 2\Downloads\"/>
    </mc:Choice>
  </mc:AlternateContent>
  <xr:revisionPtr revIDLastSave="0" documentId="13_ncr:1_{15CFF38F-B33B-4088-9F82-3B7AE43418FA}" xr6:coauthVersionLast="47" xr6:coauthVersionMax="47" xr10:uidLastSave="{00000000-0000-0000-0000-000000000000}"/>
  <bookViews>
    <workbookView xWindow="-110" yWindow="-110" windowWidth="22780" windowHeight="14540" activeTab="4" xr2:uid="{F43F6871-494C-492B-B7A5-422C82CCC9FB}"/>
  </bookViews>
  <sheets>
    <sheet name="Charge par inspecteur" sheetId="20" r:id="rId1"/>
    <sheet name="Global" sheetId="1" r:id="rId2"/>
    <sheet name="Avril" sheetId="18" r:id="rId3"/>
    <sheet name="Mai" sheetId="7" r:id="rId4"/>
    <sheet name="Juin" sheetId="8" r:id="rId5"/>
    <sheet name="Juillet" sheetId="9" r:id="rId6"/>
    <sheet name="Aout" sheetId="10" r:id="rId7"/>
    <sheet name="Septembre" sheetId="11" r:id="rId8"/>
    <sheet name="Octobre" sheetId="13" r:id="rId9"/>
    <sheet name="Novembre" sheetId="12" r:id="rId10"/>
    <sheet name="Decembre" sheetId="14" r:id="rId11"/>
    <sheet name="Congés" sheetId="21" r:id="rId12"/>
    <sheet name="Synthèse" sheetId="23" r:id="rId13"/>
  </sheets>
  <definedNames>
    <definedName name="_xlnm._FilterDatabase" localSheetId="6" hidden="1">Aout!$B$17:$P$30</definedName>
    <definedName name="_xlnm._FilterDatabase" localSheetId="2" hidden="1">Avril!$B$2:$P$24</definedName>
    <definedName name="_xlnm._FilterDatabase" localSheetId="0" hidden="1">'Charge par inspecteur'!$B$2:$K$33</definedName>
    <definedName name="_xlnm._FilterDatabase" localSheetId="11" hidden="1">Congés!$B$2:$J$53</definedName>
    <definedName name="_xlnm._FilterDatabase" localSheetId="10" hidden="1">Decembre!$B$2:$N$18</definedName>
    <definedName name="_xlnm._FilterDatabase" localSheetId="1" hidden="1">Global!$B$2:$K$21</definedName>
    <definedName name="_xlnm._FilterDatabase" localSheetId="5" hidden="1">Juillet!$B$5:$P$23</definedName>
    <definedName name="_xlnm._FilterDatabase" localSheetId="4" hidden="1">Juin!$B$2:$P$22</definedName>
    <definedName name="_xlnm._FilterDatabase" localSheetId="3" hidden="1">Mai!$B$2:$P$19</definedName>
    <definedName name="_xlnm._FilterDatabase" localSheetId="9" hidden="1">Novembre!$B$2:$P$16</definedName>
    <definedName name="_xlnm._FilterDatabase" localSheetId="8" hidden="1">Octobre!$B$2:$P$17</definedName>
    <definedName name="_xlnm._FilterDatabase" localSheetId="7" hidden="1">Septembre!$B$2:$P$18</definedName>
    <definedName name="_xlnm._FilterDatabase" localSheetId="12" hidden="1">Synthèse!$B$2:$F$47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L20" i="1" l="1"/>
  <c r="G21" i="1"/>
  <c r="H21" i="1"/>
  <c r="F21" i="1"/>
  <c r="G4" i="20"/>
  <c r="G5" i="20"/>
  <c r="G6" i="20"/>
  <c r="G7" i="20"/>
  <c r="G8" i="20"/>
  <c r="G9" i="20"/>
  <c r="G10" i="20"/>
  <c r="G11" i="20"/>
  <c r="G12" i="20"/>
  <c r="G13" i="20"/>
  <c r="G14" i="20"/>
  <c r="G15" i="20"/>
  <c r="G16" i="20"/>
  <c r="G17" i="20"/>
  <c r="G18" i="20"/>
  <c r="G19" i="20"/>
  <c r="G20" i="20"/>
  <c r="G21" i="20"/>
  <c r="G22" i="20"/>
  <c r="G23" i="20"/>
  <c r="G24" i="20"/>
  <c r="G25" i="20"/>
  <c r="G26" i="20"/>
  <c r="G27" i="20"/>
  <c r="G28" i="20"/>
  <c r="G29" i="20"/>
  <c r="G30" i="20"/>
  <c r="G31" i="20"/>
  <c r="G32" i="20"/>
  <c r="G33" i="20"/>
  <c r="G3" i="20"/>
  <c r="H32" i="20"/>
  <c r="J32" i="20"/>
  <c r="K32" i="20" s="1"/>
  <c r="H5" i="20"/>
  <c r="H17" i="20"/>
  <c r="H8" i="20"/>
  <c r="H12" i="20"/>
  <c r="H14" i="20"/>
  <c r="H13" i="20"/>
  <c r="H6" i="20"/>
  <c r="H18" i="20"/>
  <c r="H3" i="20"/>
  <c r="H16" i="20"/>
  <c r="H21" i="20"/>
  <c r="H20" i="20"/>
  <c r="H23" i="20"/>
  <c r="H11" i="20"/>
  <c r="H15" i="20"/>
  <c r="H25" i="20"/>
  <c r="H24" i="20"/>
  <c r="H31" i="20"/>
  <c r="H28" i="20"/>
  <c r="H27" i="20"/>
  <c r="H26" i="20"/>
  <c r="H30" i="20"/>
  <c r="H22" i="20"/>
  <c r="H9" i="20"/>
  <c r="H10" i="20"/>
  <c r="H7" i="20"/>
  <c r="H4" i="20"/>
  <c r="H29" i="20"/>
  <c r="H33" i="20"/>
  <c r="H19" i="20"/>
  <c r="J17" i="20"/>
  <c r="K17" i="20" s="1"/>
  <c r="J8" i="20"/>
  <c r="K8" i="20" s="1"/>
  <c r="J12" i="20"/>
  <c r="K12" i="20" s="1"/>
  <c r="J14" i="20"/>
  <c r="K14" i="20" s="1"/>
  <c r="J13" i="20"/>
  <c r="K13" i="20" s="1"/>
  <c r="J6" i="20"/>
  <c r="K6" i="20" s="1"/>
  <c r="J18" i="20"/>
  <c r="K18" i="20" s="1"/>
  <c r="J3" i="20"/>
  <c r="K3" i="20" s="1"/>
  <c r="J16" i="20"/>
  <c r="K16" i="20" s="1"/>
  <c r="J21" i="20"/>
  <c r="K21" i="20" s="1"/>
  <c r="J20" i="20"/>
  <c r="K20" i="20" s="1"/>
  <c r="J23" i="20"/>
  <c r="K23" i="20" s="1"/>
  <c r="J11" i="20"/>
  <c r="K11" i="20" s="1"/>
  <c r="J15" i="20"/>
  <c r="K15" i="20" s="1"/>
  <c r="J25" i="20"/>
  <c r="K25" i="20" s="1"/>
  <c r="J24" i="20"/>
  <c r="K24" i="20" s="1"/>
  <c r="J31" i="20"/>
  <c r="K31" i="20" s="1"/>
  <c r="J28" i="20"/>
  <c r="K28" i="20" s="1"/>
  <c r="J27" i="20"/>
  <c r="K27" i="20" s="1"/>
  <c r="J26" i="20"/>
  <c r="K26" i="20" s="1"/>
  <c r="J30" i="20"/>
  <c r="K30" i="20" s="1"/>
  <c r="J22" i="20"/>
  <c r="K22" i="20" s="1"/>
  <c r="J9" i="20"/>
  <c r="K9" i="20" s="1"/>
  <c r="J10" i="20"/>
  <c r="K10" i="20" s="1"/>
  <c r="J7" i="20"/>
  <c r="K7" i="20" s="1"/>
  <c r="J4" i="20"/>
  <c r="K4" i="20" s="1"/>
  <c r="J29" i="20"/>
  <c r="K29" i="20" s="1"/>
  <c r="J33" i="20"/>
  <c r="K33" i="20" s="1"/>
  <c r="J5" i="20"/>
  <c r="K5" i="20" s="1"/>
  <c r="J19" i="20"/>
  <c r="K19" i="20" s="1"/>
  <c r="L18" i="1"/>
  <c r="L16" i="1"/>
  <c r="L14" i="1"/>
  <c r="L12" i="1"/>
  <c r="L10" i="1"/>
  <c r="L8" i="1"/>
  <c r="L6" i="1"/>
  <c r="L4" i="1"/>
  <c r="L19" i="1"/>
  <c r="L17" i="1"/>
  <c r="L15" i="1"/>
  <c r="L13" i="1"/>
  <c r="L11" i="1"/>
  <c r="L9" i="1"/>
  <c r="L7" i="1"/>
  <c r="L5" i="1"/>
  <c r="L3" i="1"/>
  <c r="D21" i="1"/>
  <c r="I21" i="1"/>
  <c r="E21" i="1"/>
  <c r="J21" i="1"/>
  <c r="K21" i="1"/>
  <c r="L21" i="1" l="1"/>
  <c r="Q20" i="1"/>
</calcChain>
</file>

<file path=xl/sharedStrings.xml><?xml version="1.0" encoding="utf-8"?>
<sst xmlns="http://schemas.openxmlformats.org/spreadsheetml/2006/main" count="2509" uniqueCount="536">
  <si>
    <t>Inspecteur</t>
  </si>
  <si>
    <t>Groupe</t>
  </si>
  <si>
    <t>P</t>
  </si>
  <si>
    <t>Co</t>
  </si>
  <si>
    <t>R</t>
  </si>
  <si>
    <t>Total missions sans reserve</t>
  </si>
  <si>
    <t>Total missions</t>
  </si>
  <si>
    <t>VT (P+Co)</t>
  </si>
  <si>
    <t>IC = 2P+Co+R</t>
  </si>
  <si>
    <t>ICR = IC + VT/5</t>
  </si>
  <si>
    <t>IG</t>
  </si>
  <si>
    <t>SIEDD</t>
  </si>
  <si>
    <t>SH</t>
  </si>
  <si>
    <t>ARN</t>
  </si>
  <si>
    <t>UA</t>
  </si>
  <si>
    <t>FS</t>
  </si>
  <si>
    <t>PL</t>
  </si>
  <si>
    <t>ED</t>
  </si>
  <si>
    <t>CA</t>
  </si>
  <si>
    <t>GN</t>
  </si>
  <si>
    <t>JH</t>
  </si>
  <si>
    <t>AP</t>
  </si>
  <si>
    <t>YM</t>
  </si>
  <si>
    <t>MO</t>
  </si>
  <si>
    <t>AT</t>
  </si>
  <si>
    <t>GH</t>
  </si>
  <si>
    <t>JA</t>
  </si>
  <si>
    <t>AD</t>
  </si>
  <si>
    <t>PH</t>
  </si>
  <si>
    <t>CS</t>
  </si>
  <si>
    <t>IA</t>
  </si>
  <si>
    <t>SB</t>
  </si>
  <si>
    <t>JV</t>
  </si>
  <si>
    <t>OW</t>
  </si>
  <si>
    <t>SIEF</t>
  </si>
  <si>
    <t>NA</t>
  </si>
  <si>
    <t>EL</t>
  </si>
  <si>
    <t>EK</t>
  </si>
  <si>
    <t>SD</t>
  </si>
  <si>
    <t>JY</t>
  </si>
  <si>
    <t>FA</t>
  </si>
  <si>
    <t>TA</t>
  </si>
  <si>
    <t>RB</t>
  </si>
  <si>
    <t>CY</t>
  </si>
  <si>
    <t>Mois</t>
  </si>
  <si>
    <t>Zone</t>
  </si>
  <si>
    <t>Officines</t>
  </si>
  <si>
    <t>PUI</t>
  </si>
  <si>
    <t>GR</t>
  </si>
  <si>
    <t>DeG</t>
  </si>
  <si>
    <t>GV</t>
  </si>
  <si>
    <t>BPF locale</t>
  </si>
  <si>
    <t>BPF extérieure</t>
  </si>
  <si>
    <t>BPC</t>
  </si>
  <si>
    <t>TOTAUX</t>
  </si>
  <si>
    <t>AVRIL</t>
  </si>
  <si>
    <t>Nord</t>
  </si>
  <si>
    <t>Sud</t>
  </si>
  <si>
    <t>MAI</t>
  </si>
  <si>
    <t>JUIN</t>
  </si>
  <si>
    <t>JUILLET</t>
  </si>
  <si>
    <t>AOUT</t>
  </si>
  <si>
    <t>SEPTEMBRE</t>
  </si>
  <si>
    <t>OCTOBRE</t>
  </si>
  <si>
    <t>NOVEMBRE</t>
  </si>
  <si>
    <t>DECEMBRE</t>
  </si>
  <si>
    <t>Semaine</t>
  </si>
  <si>
    <t>Période</t>
  </si>
  <si>
    <t>Type_Inspection</t>
  </si>
  <si>
    <t>Sous_Type</t>
  </si>
  <si>
    <t>Départements</t>
  </si>
  <si>
    <t>Volume</t>
  </si>
  <si>
    <t>Structures</t>
  </si>
  <si>
    <t>Inspecteur_Principal</t>
  </si>
  <si>
    <t>Co_Inspecteur_1</t>
  </si>
  <si>
    <t>Co_Inspecteur_2</t>
  </si>
  <si>
    <t>Co_Inspecteur_3</t>
  </si>
  <si>
    <t>Equipe_Reserve_Urgence</t>
  </si>
  <si>
    <t>Observation</t>
  </si>
  <si>
    <t>S14</t>
  </si>
  <si>
    <t>30/03-03/04</t>
  </si>
  <si>
    <t>Réglementaire</t>
  </si>
  <si>
    <t>Routine Sud</t>
  </si>
  <si>
    <t>S15</t>
  </si>
  <si>
    <t>06/04-10/04</t>
  </si>
  <si>
    <t>Tampon</t>
  </si>
  <si>
    <t>BOR</t>
  </si>
  <si>
    <t>Rotation Nord</t>
  </si>
  <si>
    <t>LIT</t>
  </si>
  <si>
    <t xml:space="preserve">PH Sainte Rita (Ex Pharmacie de l'espoir)
PH Vie Nouvelle
PH Zogbo
PH Zongo Nima
</t>
  </si>
  <si>
    <t>OUE</t>
  </si>
  <si>
    <t>H.AAR
CHD Oueme
HZ Adjohoun</t>
  </si>
  <si>
    <t>07/04-09/04</t>
  </si>
  <si>
    <t>Site 1</t>
  </si>
  <si>
    <t>BIOLYNX</t>
  </si>
  <si>
    <t>Fixe imposée (bIOlYNX)</t>
  </si>
  <si>
    <t>07/04-10/04</t>
  </si>
  <si>
    <t>Site 2</t>
  </si>
  <si>
    <t>PHARMAQUICK</t>
  </si>
  <si>
    <t>Fixe imposée (Pharmaquick)</t>
  </si>
  <si>
    <t>S16</t>
  </si>
  <si>
    <t>13/04-17/04</t>
  </si>
  <si>
    <t>BWENDORA
Carrefour Hubert K.MAGA
Ganou  (Ex Guéma)
Cité des Kobourou</t>
  </si>
  <si>
    <t xml:space="preserve">PH Akossombo
PH Amen
PH De la Paix
Nouvelle PH Fifadji
Nouvelle PH Ménontin
</t>
  </si>
  <si>
    <t xml:space="preserve">HZ Menontin
CHU-MEL Cotonou
CNHU-PPC
Hopital Bethesda
</t>
  </si>
  <si>
    <t>14/04-16/04</t>
  </si>
  <si>
    <t>Site 3</t>
  </si>
  <si>
    <t>ATL</t>
  </si>
  <si>
    <t>COPHARBIOTECH</t>
  </si>
  <si>
    <t>Fixe imposée (Cophar Biotech)</t>
  </si>
  <si>
    <t>S17</t>
  </si>
  <si>
    <t>20/04-24/04</t>
  </si>
  <si>
    <t>HIA Parakou ; HZ Bembèrèkè ; CHD Borgou ; HZ Papane</t>
  </si>
  <si>
    <t>Début PUI Nord</t>
  </si>
  <si>
    <t xml:space="preserve">PH Renouveau
PH Saint Louis
PH Sainte Famille
PH Le Rocher
PH Sainte Philomène
</t>
  </si>
  <si>
    <t>Renfort Sud</t>
  </si>
  <si>
    <t>COU</t>
  </si>
  <si>
    <t>Hôpital APH Gohomey
Hôpital St Camille Dogbo
HZ Aplahoue
HZ Klouekanme</t>
  </si>
  <si>
    <t>Grossistes-répartiteurs (CAMEVET)</t>
  </si>
  <si>
    <t xml:space="preserve">
CAMEVET</t>
  </si>
  <si>
    <t>GR Sud</t>
  </si>
  <si>
    <t>S18</t>
  </si>
  <si>
    <t>27/04-01/05</t>
  </si>
  <si>
    <t>DON</t>
  </si>
  <si>
    <t>HZ Bassila ; H. Ordre de malte ; CHD Donga</t>
  </si>
  <si>
    <t xml:space="preserve">PH L'Eternité
PH Le Tamaya
Nouvelle PH Agontikon
PH Palace Plus
</t>
  </si>
  <si>
    <t>MON</t>
  </si>
  <si>
    <t>HZ Lokossa
CHD Mono
HZ Come</t>
  </si>
  <si>
    <t>27/04-30/04</t>
  </si>
  <si>
    <t>ZOU</t>
  </si>
  <si>
    <t>PDMC-SL</t>
  </si>
  <si>
    <t>Fixe imposée (CHD Goho)</t>
  </si>
  <si>
    <t>29/04-30/04</t>
  </si>
  <si>
    <t>Grossistes-répartiteurs (UBIPHARM)</t>
  </si>
  <si>
    <t>UBIPHARM</t>
  </si>
  <si>
    <t>2e GR Avril</t>
  </si>
  <si>
    <t>27/04-27/04</t>
  </si>
  <si>
    <t>Jak Aléjo</t>
  </si>
  <si>
    <t>Département</t>
  </si>
  <si>
    <t>S19</t>
  </si>
  <si>
    <t>05/05-08/05</t>
  </si>
  <si>
    <t>-</t>
  </si>
  <si>
    <t>CVA Ménagé</t>
  </si>
  <si>
    <t>04/05-04/05</t>
  </si>
  <si>
    <t>Exceptionnelle ARN</t>
  </si>
  <si>
    <t>PH GOROBANI
PH BEYEROU</t>
  </si>
  <si>
    <t>Fixe imposée (incluse dans total Nord)</t>
  </si>
  <si>
    <t>04/05-08/05</t>
  </si>
  <si>
    <t xml:space="preserve">PH Luli Luli Sarl
Nouvelle PH Akogbato
Nouvelle PH Houéyiho
Nouvelle PH Les Cocotiers
PH Océane
</t>
  </si>
  <si>
    <t>COL</t>
  </si>
  <si>
    <t xml:space="preserve">HZ Dassa
HZ Save
Hôpital Abbraccio
Hopital Savalou
</t>
  </si>
  <si>
    <t>SMAART-II</t>
  </si>
  <si>
    <t>Fixe imposée (Parakou)</t>
  </si>
  <si>
    <t>S20</t>
  </si>
  <si>
    <t>11/05-15/05</t>
  </si>
  <si>
    <t>Du Campus (Parakou)
Du Lycée</t>
  </si>
  <si>
    <t>Exceptionnelle</t>
  </si>
  <si>
    <t>PH LA REFERENCE
PH ZOUNDJA SATELLITE</t>
  </si>
  <si>
    <t>Fixe imposée</t>
  </si>
  <si>
    <t>CHIC 
HZ AOMEY CALAVI</t>
  </si>
  <si>
    <t xml:space="preserve">
PH Safari Agla 
PH Saint Etienne d'Agla 
PH Les archanges
PH Les pylones</t>
  </si>
  <si>
    <t>Charge ajustée</t>
  </si>
  <si>
    <t xml:space="preserve">PH Le Nokoué
PH Yénawa
PH L’Immaculée Adogléta Ex La Colombe
PH De l'Abattoir
</t>
  </si>
  <si>
    <t>S21</t>
  </si>
  <si>
    <t>18/05-22/05</t>
  </si>
  <si>
    <t>Confiance
Des 3 banques
Kaaya
Don de Dieu (Nikki)</t>
  </si>
  <si>
    <t>Adanhounsa
Attogon
Akassato
La Bénédiction</t>
  </si>
  <si>
    <t>HZ Djidja
CHD Zou
HZ Cove</t>
  </si>
  <si>
    <t>S22</t>
  </si>
  <si>
    <t>26/05-29/05</t>
  </si>
  <si>
    <t>Fériés</t>
  </si>
  <si>
    <t>25/05-29/05</t>
  </si>
  <si>
    <t>Senan Zounga
Ayessi Godomey
Carrefour Gninnin</t>
  </si>
  <si>
    <t>Fin de mois renforcée</t>
  </si>
  <si>
    <t>PH Saint Gabriel
PH Saint Urbain
PH Le Remède</t>
  </si>
  <si>
    <t>Grossistes-répartiteurs (UBPHAR Cotonou et Porto Novo)</t>
  </si>
  <si>
    <t>LIT/OUE</t>
  </si>
  <si>
    <t>UBPHAR COTONOU ET PORTO-NOVO</t>
  </si>
  <si>
    <t>GR Sud Mai</t>
  </si>
  <si>
    <t>S23</t>
  </si>
  <si>
    <t>01/06-05/06</t>
  </si>
  <si>
    <t>Repos CVA</t>
  </si>
  <si>
    <t>PHARMACIE DE L'AIGLE ROYALE
PH Esplanade Dantokpa (Ex Des 4 Thérapies)
PH Mahuton
PH STE FOI
Nouvelle PH Sainte Victoire
"</t>
  </si>
  <si>
    <t>Charge réduite (missions ext.)</t>
  </si>
  <si>
    <t>Cica Santé Akassato
Cité Arconville
Cité de paix (HOUEGBO) (Ex Pharmacie Saint Enfant Jesus de Houegbo)
Dagbédé de Vassého
De l'immaculée Conception</t>
  </si>
  <si>
    <t>Charge réduite</t>
  </si>
  <si>
    <t>01/06-06/06</t>
  </si>
  <si>
    <t>Extérieur</t>
  </si>
  <si>
    <t>Inde 1</t>
  </si>
  <si>
    <t>EXT</t>
  </si>
  <si>
    <t>Inde 2</t>
  </si>
  <si>
    <t>S24</t>
  </si>
  <si>
    <t>08/06-12/06</t>
  </si>
  <si>
    <r>
      <rPr>
        <sz val="11"/>
        <color rgb="FF000000"/>
        <rFont val="Aptos Narrow"/>
        <scheme val="minor"/>
      </rPr>
      <t xml:space="preserve">
</t>
    </r>
    <r>
      <rPr>
        <sz val="11"/>
        <color rgb="FF000000"/>
        <rFont val="Aptos Narrow"/>
        <scheme val="minor"/>
      </rPr>
      <t>Houeze Pharma
Imane
Okedama
Arafat</t>
    </r>
  </si>
  <si>
    <t>Grossistes_vétérinaires (GVS)</t>
  </si>
  <si>
    <t>GVS</t>
  </si>
  <si>
    <t>Routine Sud allégée</t>
  </si>
  <si>
    <t xml:space="preserve">Hôp.La Croix Zinvié
HZ Ouidah
HZ Allada 
</t>
  </si>
  <si>
    <t>Grossistes-répartiteurs (GAPOB BOHICON)</t>
  </si>
  <si>
    <t>GAPOB BOHICON</t>
  </si>
  <si>
    <t>GR Juin</t>
  </si>
  <si>
    <t>S25</t>
  </si>
  <si>
    <t>15/06-19/06</t>
  </si>
  <si>
    <t>La Gare
La Grâce (Parakou)
N’dali
Santé Vitale</t>
  </si>
  <si>
    <t>El Béthesda
Emmanuel
Espace Santé
Eyitayo de Womey
Fifamè</t>
  </si>
  <si>
    <t>S26</t>
  </si>
  <si>
    <t>22/06-26/06</t>
  </si>
  <si>
    <t>Hôpital Conf Saint Padré Pio
HZ Boko
HZ Sounon Sero
HOPITAL TINRE</t>
  </si>
  <si>
    <t>Rotation Nord PUI</t>
  </si>
  <si>
    <t>Fleuve de vie
Gbèna
Godomey Centre
Godomey Fignonhou
Godomey PK 14</t>
  </si>
  <si>
    <t>Hèdomey Dekoungbe
Hêvié Sarl
Houénoussou
Iita
L’Angelus</t>
  </si>
  <si>
    <t>Grossistes-répartiteurs (UBPHAR + GAPOB PARAKOU)</t>
  </si>
  <si>
    <t>UBPHAR ET GAPOB PARAKOU</t>
  </si>
  <si>
    <t>2e GR Juin</t>
  </si>
  <si>
    <t>S27</t>
  </si>
  <si>
    <t>29/06-03/07</t>
  </si>
  <si>
    <t>ALI</t>
  </si>
  <si>
    <t xml:space="preserve">HZ Malanville-Karimama
HZ Kandi
HZ Banikoara
H. Regina Pacis
</t>
  </si>
  <si>
    <t>Clôture bloc Juin Nord</t>
  </si>
  <si>
    <t>La Concorde
La Grâce (Ouidah)
MERE ELISABETH NOBRE
La Prunelle de l'Eternel de PAHOU
La Rose</t>
  </si>
  <si>
    <t>Fin de mois</t>
  </si>
  <si>
    <t>Site 4</t>
  </si>
  <si>
    <t>Fixe imposée (API)</t>
  </si>
  <si>
    <t>Le Jourdain Togoudo
Le Président
Le Schilo (Tankpè-Parana)
Le Sycomore
Les Capucines</t>
  </si>
  <si>
    <t>S28</t>
  </si>
  <si>
    <t>06/07-10/07</t>
  </si>
  <si>
    <t>CY indisponible 01-20/07</t>
  </si>
  <si>
    <t>Les Graces Divines de Ouèdo
Magnificat
Maria Gléta
Mitonwè
Principale de Houéto</t>
  </si>
  <si>
    <t>Principale de Tori Bossito
Saint Abel Pharmabel de Tankpè
Saint Antoine de Padoue
Saint Bénoît de Womey
Saint Georges</t>
  </si>
  <si>
    <t>06/07-11/07</t>
  </si>
  <si>
    <t>06/07-08/07</t>
  </si>
  <si>
    <t>Site 5</t>
  </si>
  <si>
    <t>Fixe imposée (SoftCare)</t>
  </si>
  <si>
    <t>S29</t>
  </si>
  <si>
    <t>13/07-17/07</t>
  </si>
  <si>
    <t>Tranza
Vita Plus
Zongo II
Nima</t>
  </si>
  <si>
    <t>NA, SB, JH en congé ; CY indispo</t>
  </si>
  <si>
    <t>Saint Gérard de Zoundja
Saint Paul
Saint PioTokan
De la Centrale Maria-Gleta 2 (Pharmacie Camp Guézo 2)
Saint Steve Sarl</t>
  </si>
  <si>
    <t>Sainte Adèle de l’Echangeur de Godomey
Sainte Bernadette
Saint Marcellin
Sainte Marie Elise
Sainte Trinité de Pahou</t>
  </si>
  <si>
    <t>S30</t>
  </si>
  <si>
    <t>20/07-24/07</t>
  </si>
  <si>
    <t>BOR (1)/ALI</t>
  </si>
  <si>
    <t xml:space="preserve">Saint Benoit de Parakou
Nasiara
Magnolia
DHANVANTARI MA
</t>
  </si>
  <si>
    <t>CY retour possible après 20/07</t>
  </si>
  <si>
    <t>Sèhouè
Sos Santé
Togoudo
Toussaint L'ouverture
Le Lotus</t>
  </si>
  <si>
    <t>Zinvié
Zoca
Zopah Olouwatobi
Saint Camille
La Miraculeuse</t>
  </si>
  <si>
    <t>Grossistes-répartiteurs (GAPOB COTONOU + LABOREX)</t>
  </si>
  <si>
    <t>GAPOB COTONOU
LABOREX</t>
  </si>
  <si>
    <t>GR Juillet</t>
  </si>
  <si>
    <t>S31</t>
  </si>
  <si>
    <t>27/07-31/07</t>
  </si>
  <si>
    <t>ATA</t>
  </si>
  <si>
    <t>CHD Atacora ; HZ Saint Jean de Dieu (Tanguiéta)</t>
  </si>
  <si>
    <t>Clôture Nord Juillet</t>
  </si>
  <si>
    <t>Zoé Santé
Olouwatoyin de Kpota
Alpha Oméga Bazounkpa
Alhéri Glodénou
Sedami</t>
  </si>
  <si>
    <t>Nouvelle Eve
PHARMACIE AÏTCHEDJI SEMINAIRE
PHARMACIE VALLEE BERACA
Zoé d'Atrokpocodji
Pahou Capot</t>
  </si>
  <si>
    <t>Clôture Sud Juillet</t>
  </si>
  <si>
    <t>Grossistes-répartiteurs (SOBAPS PARAKOU + NATITINGOU)</t>
  </si>
  <si>
    <t>BOR/ATA</t>
  </si>
  <si>
    <t>SOBAPS PARAKOU + NATITINGOU</t>
  </si>
  <si>
    <t>2e GR Juillet</t>
  </si>
  <si>
    <t>Grossistes-répartiteurs (Sobaps Cotonou +DG)</t>
  </si>
  <si>
    <t>SOBAPS COTONOU ET DG</t>
  </si>
  <si>
    <t>SoBAPS Juillet</t>
  </si>
  <si>
    <t>S32</t>
  </si>
  <si>
    <t>03/08-07/08</t>
  </si>
  <si>
    <t>PH/ED/YM congés Sud ; NA en congé</t>
  </si>
  <si>
    <t>Kpèdétin
La Jouvence Tokpota Dadjrougbe
La Place Kokoye
Le Prestige du Pont
Adjohoun</t>
  </si>
  <si>
    <t>Les Anges
Les Chérubins
Les Palmiers
L'Harmonie 
L'unité</t>
  </si>
  <si>
    <t>S33</t>
  </si>
  <si>
    <t>10/08-14/08</t>
  </si>
  <si>
    <t>Centrale de Banikoara
Pharmacie Tawfiq de Sonsoro
Dara Fari (Ex Capitaine FariI) 
Du Sahel (décès)</t>
  </si>
  <si>
    <t>Clôture officines Nord</t>
  </si>
  <si>
    <t>Malanhoui
Metogninsè d'Anavié S.A.S
Notre Dame de l'Atlantique Akondé
Nouvel Espoir (Ex victoria)
Nouvel Horizon</t>
  </si>
  <si>
    <t>IA/JA partiellement indispo</t>
  </si>
  <si>
    <t>Nouvelle Pharmacie Du Grand Marché
Nouvelle Pharmacie Kandévié
Oganla
Olatoundji
Olayèmi Guévié</t>
  </si>
  <si>
    <t>S34</t>
  </si>
  <si>
    <t>17/08-21/08</t>
  </si>
  <si>
    <t>La Bienheureuse (Natitingou)
Tanguiéta
Tissanta (Décès)
Nasiara de Kérou</t>
  </si>
  <si>
    <t>Progression PUI Nord</t>
  </si>
  <si>
    <t>Owodé
Place Bayol
Saint Pierre de Sèmè Kpodji
Saint Raymond du Marché Agata
Sainte Marie</t>
  </si>
  <si>
    <t>Routine Sud renforcée</t>
  </si>
  <si>
    <t>Suru Léré (Porto - Novo)
Toffa 1er
Tohouè
Tokpota 2 - Davo
Vakon</t>
  </si>
  <si>
    <t>S35</t>
  </si>
  <si>
    <t>24/08-28/08</t>
  </si>
  <si>
    <t xml:space="preserve">HZ Natitingou
Hôpital Bakhita
HZ Kouande
</t>
  </si>
  <si>
    <t>EK en congé dès 26/08</t>
  </si>
  <si>
    <t>Val des Graces Sarl
Sèdjro de Ouanho
Sanite Anne
du Cinquantenaire Adjakahoué</t>
  </si>
  <si>
    <t>Miracle de Tanzoun
DJIDJOHO
KAYOSSI
IFEDE ROUTE DE KETONOU</t>
  </si>
  <si>
    <t>Clôture mois</t>
  </si>
  <si>
    <t>NOUVELLE PHARMACIE DONA DEÏ
PHARMACIE LOUHO
Adjarra Docodji UPAO
Vêkpa</t>
  </si>
  <si>
    <t>GR Août</t>
  </si>
  <si>
    <t>Structure</t>
  </si>
  <si>
    <t>S36</t>
  </si>
  <si>
    <t>31/08-04/09</t>
  </si>
  <si>
    <t>Nord officines clôturées</t>
  </si>
  <si>
    <t xml:space="preserve">Adjibade Sarl
Adouni
Agata Grace Divine
Agblangandan
Agbokou
</t>
  </si>
  <si>
    <t>Badirou de Tchinvié
Boladji
Carrefour Gbodjè
Catchi
Centrale d’Adjarra</t>
  </si>
  <si>
    <t>S37</t>
  </si>
  <si>
    <t>07/09-11/09</t>
  </si>
  <si>
    <t>Ouaké
Zama Bani
COPARGO
CLEMENT</t>
  </si>
  <si>
    <t>Centrale Kokoyè
Cristal Dodji
De la Vallée de l’Ouémé
Hounsa Rehoboth
Djeffa</t>
  </si>
  <si>
    <t>Djegan Kpevi
Dona - Déï
Dona (Porto - Novo)
Dowa
Dowa Gbago Tabita</t>
  </si>
  <si>
    <t>07/09-12/09</t>
  </si>
  <si>
    <t>Chine</t>
  </si>
  <si>
    <t>S38</t>
  </si>
  <si>
    <t>14/09-18/09</t>
  </si>
  <si>
    <t>BOR(01)/ATA</t>
  </si>
  <si>
    <t xml:space="preserve">Du Plateau
Eden d'Ourbouga
Cité des Bangana
DE L'ATACORA
</t>
  </si>
  <si>
    <t>Du Boulevard Djassin
Ekpè
Fontaine de Jouvence
Grande Pharmacie Krake
Koutongbé (Ex National)</t>
  </si>
  <si>
    <t>Gloria Déi de Dogbo Sarl
Le Fleuron
Nouvelle Pharmacie Grace Divine
Lalo Hlassame</t>
  </si>
  <si>
    <t>Sainte Croix (Comè)
Hôtel de Ville
ZOUNGBONOU
Le Bon Samaritain</t>
  </si>
  <si>
    <t>S39</t>
  </si>
  <si>
    <t>21/09-25/09</t>
  </si>
  <si>
    <t>COL(1)/DON</t>
  </si>
  <si>
    <t>Bantè
Nouvelle Pharmacie Madina
Safari (Bassila)
Taifa</t>
  </si>
  <si>
    <t>MON(2)/COU</t>
  </si>
  <si>
    <t>La Nériad
Sainte Marie Reine
Rehoboth - P
DU CARREFOUR TOVIKLIN</t>
  </si>
  <si>
    <t>Wezon Aplahoué
Saint Marcel (Azovè)
Sainte Carine
Sainte Véronique de Djakotomey</t>
  </si>
  <si>
    <t>22/09-25/09</t>
  </si>
  <si>
    <t>Dèkoungbé
Déo Gratias Godomey
Du Campus UAC Sarl
Du Château d’eau
Du Lac</t>
  </si>
  <si>
    <t>Le Carrefour de Grand-Popo
Nouvelle Pharmacie  Zogbédji
Principale de Sè
Sahouè</t>
  </si>
  <si>
    <t>S40</t>
  </si>
  <si>
    <t>28/09-02/10</t>
  </si>
  <si>
    <t>DIVINE MISÉRICORDE DE AKODEHA
Grande Pharmacie de Comè Sarl 
Eyram
Hillacondji Don de Dieu (Ex Notre Dame du perpétuel secours)</t>
  </si>
  <si>
    <t>LIT(3)/ATL</t>
  </si>
  <si>
    <t>PHARMACIE SAINT RAPHAEL
PHARMACIE OKPE OLUWA
PHARMACIE MATHYS
JACK &amp; CIE
AITCHEDJI SEMINAIRE</t>
  </si>
  <si>
    <t>S41</t>
  </si>
  <si>
    <t>05/10-09/10</t>
  </si>
  <si>
    <t>Agbado
CLEMENT DE TCHETTI
Dassa Carrefour
De la Savane</t>
  </si>
  <si>
    <t>PLA</t>
  </si>
  <si>
    <t>Achimi
Enoryves
Adja-Ouèrè
La Frontière (Igolo)</t>
  </si>
  <si>
    <t xml:space="preserve">La Grâce Divine Pobè
Olabissi
Principale de Kétou
Carrefour Y de Igolo
</t>
  </si>
  <si>
    <t>S42</t>
  </si>
  <si>
    <t>12/10-16/10</t>
  </si>
  <si>
    <t>Notre Dame d'Arigbo
Pharmacie Le Paraclet
Des Collines
Ireti</t>
  </si>
  <si>
    <t>AT en congé dès 12/10</t>
  </si>
  <si>
    <t>Ave Maria Carrefour Zakpo
Azally II
Azonnigbo
Etoile de Kpokon</t>
  </si>
  <si>
    <t>Du Marché Abomey
Houéfa de Sodohoué
Layo de Covè
Midokpo</t>
  </si>
  <si>
    <t xml:space="preserve">Nontinmin
Nouvelle Pharmacie Goho
Péniel de Djidja
Pharmcie Saint Edmond d'Agbangnizoun
</t>
  </si>
  <si>
    <t>S43</t>
  </si>
  <si>
    <t>19/10-23/10</t>
  </si>
  <si>
    <t>Ouesse centre
Pharmacie ABE DU MARCHE DE SAVE
Lafia Sarl
Oluwa Tobi Kilibo</t>
  </si>
  <si>
    <t>Clôture Nord Octobre</t>
  </si>
  <si>
    <t>PHARMACIE PRIELLE DE TINDJI
Zakpota
Saint Henri
Saint Luc de Djimè</t>
  </si>
  <si>
    <t>Sainte Face
PHARMACIE SHALOM
Royale d'Abomey
Zogbodomey</t>
  </si>
  <si>
    <t>Clôture PUI Octobre</t>
  </si>
  <si>
    <t>S44</t>
  </si>
  <si>
    <t>26/10-30/10</t>
  </si>
  <si>
    <t>Centrale de Houègbo
LYCEE TECHNIQUE D'AKASSATO
LE FIGUIER
Pharmacie OASIS
CENTRALE DE KPOMASSE</t>
  </si>
  <si>
    <t>Distributeurs en gros</t>
  </si>
  <si>
    <t>ABMS 
Centrale d'approvisionnement des formations sanitaires catholiques (CAFSC)</t>
  </si>
  <si>
    <t>S45</t>
  </si>
  <si>
    <t>02/11-06/11</t>
  </si>
  <si>
    <t>Principale Glazoué
Priorité Santé (Paouignan)
ASOVIC DE GOUKA
PHARMACIE DONAN DE SAVALOU</t>
  </si>
  <si>
    <t>JY en congé dès 02/11</t>
  </si>
  <si>
    <t>PHARMACIE PÔLE SANTE
Wahouédon
SAINTE VALENTINE
DES MUSEES D'ABOMEY
CŒUR D'OR</t>
  </si>
  <si>
    <t>PH MADONE
TANTOT LE JOKER
PH MARISTES
PHARMACIE VIE SACRE AGBATO
PH MIDOMBO</t>
  </si>
  <si>
    <t>S46</t>
  </si>
  <si>
    <t>09/11-13/11</t>
  </si>
  <si>
    <r>
      <rPr>
        <sz val="11"/>
        <color rgb="FF000000"/>
        <rFont val="Aptos Narrow"/>
        <scheme val="minor"/>
      </rPr>
      <t xml:space="preserve">
</t>
    </r>
    <r>
      <rPr>
        <sz val="11"/>
        <color rgb="FF000000"/>
        <rFont val="Aptos Narrow"/>
        <scheme val="minor"/>
      </rPr>
      <t>Gorobani
La guérison fin goudron Boni Yayi
ALAFIA PLUS
TIBONA</t>
    </r>
  </si>
  <si>
    <t>Démarrage Nord Avril ; PL congé dès 03/04, charge limitée</t>
  </si>
  <si>
    <t xml:space="preserve">Cnhu
Hopital St Jean
Hopital St Luc
PH HAIE VIVE
CHUZ SURU-LERE
</t>
  </si>
  <si>
    <t xml:space="preserve">
</t>
  </si>
  <si>
    <t>S47</t>
  </si>
  <si>
    <t>16/11-20/11</t>
  </si>
  <si>
    <t>S48</t>
  </si>
  <si>
    <t>23/11-27/11</t>
  </si>
  <si>
    <t>GN en congé dès 27/11</t>
  </si>
  <si>
    <t>Clôture PUI</t>
  </si>
  <si>
    <t>GV Novembre</t>
  </si>
  <si>
    <t>S49</t>
  </si>
  <si>
    <t>30/11-04/12</t>
  </si>
  <si>
    <t>Clôture Nord progressive</t>
  </si>
  <si>
    <t>S50</t>
  </si>
  <si>
    <t>07/12-11/12</t>
  </si>
  <si>
    <t>SH indispo dès 10/12 (ARN)</t>
  </si>
  <si>
    <t>S51</t>
  </si>
  <si>
    <t>14/12-18/12</t>
  </si>
  <si>
    <t>GN dispo jusqu’au 26/11 ; ici remplacé si besoin</t>
  </si>
  <si>
    <t>Plusieurs congés à venir fin décembre</t>
  </si>
  <si>
    <t>S52</t>
  </si>
  <si>
    <t>21/12-25/12</t>
  </si>
  <si>
    <t>Congés massifs fin décembre, charge réduite</t>
  </si>
  <si>
    <t>Pas de PUI cette semaine</t>
  </si>
  <si>
    <t>S53</t>
  </si>
  <si>
    <t>28/12-31/12</t>
  </si>
  <si>
    <t>Clôture annuelle, congés ARN/SIEF</t>
  </si>
  <si>
    <t>Équipe minimale de clôture</t>
  </si>
  <si>
    <t>Date_Debut</t>
  </si>
  <si>
    <t>Date_Fin_Indicative</t>
  </si>
  <si>
    <t>Initiales</t>
  </si>
  <si>
    <t>Entité</t>
  </si>
  <si>
    <t>Zone_Impact</t>
  </si>
  <si>
    <t>Durée</t>
  </si>
  <si>
    <t>Lokoun Fifamè Pulchérie Ella</t>
  </si>
  <si>
    <t>Junior ARN</t>
  </si>
  <si>
    <t>ARN / Nord</t>
  </si>
  <si>
    <t>5 jours ouvrés</t>
  </si>
  <si>
    <t>Indisponible début avril</t>
  </si>
  <si>
    <t>17/4/2026</t>
  </si>
  <si>
    <t>Houndrode Ghisèle Amavi</t>
  </si>
  <si>
    <t>Junior SIED</t>
  </si>
  <si>
    <t>12 jours ouvrés</t>
  </si>
  <si>
    <t>Impact 2e moitié avril et chevauchement début mai</t>
  </si>
  <si>
    <t>Pokou Aurelle</t>
  </si>
  <si>
    <t>21/5/2026</t>
  </si>
  <si>
    <t>Segnon Aymone Corinne</t>
  </si>
  <si>
    <t>14 jours ouvrés</t>
  </si>
  <si>
    <t>CRITIQUE : incompatible avec mission exceptionnelle Sud 11–15 mai si maintenue</t>
  </si>
  <si>
    <t>15/5/2026</t>
  </si>
  <si>
    <t>Madohonan Mawugnon Yasmine</t>
  </si>
  <si>
    <t>Indisponible mi-mai</t>
  </si>
  <si>
    <t>13/5/2026</t>
  </si>
  <si>
    <t>26/5/2026</t>
  </si>
  <si>
    <t>Agossa Ulrich</t>
  </si>
  <si>
    <t>10 jours ouvrés</t>
  </si>
  <si>
    <t>25/5/2026</t>
  </si>
  <si>
    <t>Ahoga Josias</t>
  </si>
  <si>
    <t>7 jours ouvrés</t>
  </si>
  <si>
    <t>27/5/2026</t>
  </si>
  <si>
    <t>Saroukou Farouk Ayindé Antonio</t>
  </si>
  <si>
    <t>9 jours ouvrés</t>
  </si>
  <si>
    <t>18/5/2026</t>
  </si>
  <si>
    <t>6 jours ouvrés</t>
  </si>
  <si>
    <t>Indisponible ARN fin mai</t>
  </si>
  <si>
    <t>19/5/2026</t>
  </si>
  <si>
    <t>25/05/2026</t>
  </si>
  <si>
    <t>Ganhou Iréné Sènankpon</t>
  </si>
  <si>
    <t>Indisponible fin mai</t>
  </si>
  <si>
    <t>18/6/2026</t>
  </si>
  <si>
    <t>Whannou de Dravo Kpèdétin Olivia Jute Linda</t>
  </si>
  <si>
    <t>Senior SIEF</t>
  </si>
  <si>
    <t>Sud / SIEF</t>
  </si>
  <si>
    <t>NOUVEAU : 1ère partie ajoutée selon précision utilisateur</t>
  </si>
  <si>
    <t>19/6/2026</t>
  </si>
  <si>
    <t>Agbo-Ola Adétola Omolara Florisse</t>
  </si>
  <si>
    <t>Junior SIEF</t>
  </si>
  <si>
    <t>Attention à l’appui SIEF en juin</t>
  </si>
  <si>
    <t>20/07/2026</t>
  </si>
  <si>
    <t>Yemoa Charlemagne</t>
  </si>
  <si>
    <t>Appui ARN</t>
  </si>
  <si>
    <t>Nord uniquement</t>
  </si>
  <si>
    <t>20 jours calendaires</t>
  </si>
  <si>
    <t>Ressource Nord indisponible</t>
  </si>
  <si>
    <t>13/7/2026</t>
  </si>
  <si>
    <t>13/8/2026</t>
  </si>
  <si>
    <t>Agbanou Amour Narcisse Dègnon</t>
  </si>
  <si>
    <t>24 jours ouvrés</t>
  </si>
  <si>
    <t>Conforme au tableau congés mais à arbitrer avec consigne métier juillet-août</t>
  </si>
  <si>
    <t>28/7/2026</t>
  </si>
  <si>
    <t>Houngbedji Codjo Joël Onésime</t>
  </si>
  <si>
    <t>Indisponible mi-juillet</t>
  </si>
  <si>
    <t>13/07/2026</t>
  </si>
  <si>
    <t>Bognon Y. Saturnin</t>
  </si>
  <si>
    <t>Senior ARN</t>
  </si>
  <si>
    <t>Impact ARN mi-juillet</t>
  </si>
  <si>
    <t>15/07/2026</t>
  </si>
  <si>
    <t>Vigan Jean-Paul</t>
  </si>
  <si>
    <t>Chevauchement début août</t>
  </si>
  <si>
    <t>27/07/2026</t>
  </si>
  <si>
    <t>Atcheffon Tanguy</t>
  </si>
  <si>
    <t>Chevauchement août</t>
  </si>
  <si>
    <t>17/8/2026</t>
  </si>
  <si>
    <t>Hade Paterne Déo-Gratias</t>
  </si>
  <si>
    <t>Senior SIEED</t>
  </si>
  <si>
    <t>15 jours ouvrés</t>
  </si>
  <si>
    <t>CRITIQUE : senior clé indisponible</t>
  </si>
  <si>
    <t>18/8/2026</t>
  </si>
  <si>
    <t>Dagan Midokpè Elodie</t>
  </si>
  <si>
    <t>Indisponible début août</t>
  </si>
  <si>
    <t>14/8/2026</t>
  </si>
  <si>
    <t>25/8/2026</t>
  </si>
  <si>
    <t>Aholoukpe Léonelle Immaculée</t>
  </si>
  <si>
    <t>Indisponible mi-août</t>
  </si>
  <si>
    <t>27/8/2026</t>
  </si>
  <si>
    <t>26/8/2026</t>
  </si>
  <si>
    <t>Kokoye Eole Armanda Luxio</t>
  </si>
  <si>
    <t>Chevauchement septembre</t>
  </si>
  <si>
    <t>AUCUN</t>
  </si>
  <si>
    <t>Aucun congé explicitement listé</t>
  </si>
  <si>
    <t>N/A</t>
  </si>
  <si>
    <t>Global</t>
  </si>
  <si>
    <t>Capacité normale hors mission Chine</t>
  </si>
  <si>
    <t>29/10/2026</t>
  </si>
  <si>
    <t>Tamou Sambo Simè Abdias</t>
  </si>
  <si>
    <t>Indisponible mi-octobre</t>
  </si>
  <si>
    <t>Yacoubou Jean</t>
  </si>
  <si>
    <t>Préparateur ARN</t>
  </si>
  <si>
    <t>CRITIQUE : ressource Nord indisponible</t>
  </si>
  <si>
    <t>27/11/2026</t>
  </si>
  <si>
    <t>31/12/2026</t>
  </si>
  <si>
    <t>Natonnagnon Geraud</t>
  </si>
  <si>
    <t>Fin d’année</t>
  </si>
  <si>
    <t>Indisponible fin novembre à décembre</t>
  </si>
  <si>
    <t>15/01/2027</t>
  </si>
  <si>
    <t>Houssou Monssèdé Stéphanie</t>
  </si>
  <si>
    <t>Période chevauchante</t>
  </si>
  <si>
    <t>Indisponible mi-décembre à mi-janvier</t>
  </si>
  <si>
    <t>15/12/2026</t>
  </si>
  <si>
    <t>Indisponible fin d’année</t>
  </si>
  <si>
    <t>18/12/2026</t>
  </si>
  <si>
    <t>Dazoundo Tagnon Cyrille Steeve</t>
  </si>
  <si>
    <t>Chevauchement janvier</t>
  </si>
  <si>
    <t>21/12/2026</t>
  </si>
  <si>
    <t>24/12/2026</t>
  </si>
  <si>
    <t>26/01/2027</t>
  </si>
  <si>
    <t>23 jours ouvrés</t>
  </si>
  <si>
    <t>MIS À JOUR : 2ème partie corrigée selon précision utilisateur</t>
  </si>
  <si>
    <t>23/12/2026</t>
  </si>
  <si>
    <t>13/01/2027</t>
  </si>
  <si>
    <t>Lokossou Euned Déo-Gracias</t>
  </si>
  <si>
    <t>14/01/2027</t>
  </si>
  <si>
    <t>28/12/2026</t>
  </si>
  <si>
    <t>31/01/2027</t>
  </si>
  <si>
    <t>Ahouandjinou Corneille</t>
  </si>
  <si>
    <t>Fin janvier 2027</t>
  </si>
  <si>
    <t>Chevauchement long</t>
  </si>
  <si>
    <t>Dassi Bidossessi Aimé</t>
  </si>
  <si>
    <t>Démarrage fin d’année</t>
  </si>
  <si>
    <t>Olafa Omotayo Mouyinath</t>
  </si>
  <si>
    <t>Type de structure</t>
  </si>
  <si>
    <t>Nombre de missions SUD</t>
  </si>
  <si>
    <t>Nombre de missions NORD</t>
  </si>
  <si>
    <t>Avril</t>
  </si>
  <si>
    <t>BPF Local</t>
  </si>
  <si>
    <t>Grossistes</t>
  </si>
  <si>
    <t>Mai</t>
  </si>
  <si>
    <t>Juin</t>
  </si>
  <si>
    <t>BPF Externe</t>
  </si>
  <si>
    <t>Juillet</t>
  </si>
  <si>
    <t>Août</t>
  </si>
  <si>
    <t>Septembre</t>
  </si>
  <si>
    <t>Octobre</t>
  </si>
  <si>
    <t>Novembre</t>
  </si>
  <si>
    <t>Décembre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</si>
</sst>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42424"/>
      <name val="Aptos Narrow"/>
      <family val="2"/>
    </font>
    <font>
      <sz val="8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0000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right" vertical="center" wrapText="1"/>
    </xf>
    <xf numFmtId="0" fontId="0" fillId="0" borderId="1" xfId="0" applyBorder="1" applyAlignment="1">
      <alignment horizontal="right" vertical="center" wrapText="1"/>
    </xf>
    <xf numFmtId="0" fontId="1" fillId="0" borderId="1" xfId="0" applyFont="1" applyBorder="1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2" borderId="1" xfId="0" applyFill="1" applyBorder="1" applyAlignment="1">
      <alignment horizontal="right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 applyAlignment="1">
      <alignment horizontal="right" vertical="center" wrapText="1"/>
    </xf>
    <xf numFmtId="16" fontId="0" fillId="2" borderId="1" xfId="0" applyNumberForma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  <xf numFmtId="0" fontId="0" fillId="5" borderId="1" xfId="0" applyFill="1" applyBorder="1" applyAlignment="1">
      <alignment vertical="center" wrapText="1"/>
    </xf>
    <xf numFmtId="0" fontId="0" fillId="5" borderId="1" xfId="0" applyFill="1" applyBorder="1" applyAlignment="1">
      <alignment horizontal="right" vertical="center" wrapText="1"/>
    </xf>
    <xf numFmtId="0" fontId="2" fillId="5" borderId="0" xfId="0" applyFont="1" applyFill="1"/>
    <xf numFmtId="0" fontId="0" fillId="0" borderId="0" xfId="0" applyAlignment="1">
      <alignment wrapText="1"/>
    </xf>
    <xf numFmtId="0" fontId="1" fillId="6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vertical="center" wrapText="1"/>
    </xf>
    <xf numFmtId="0" fontId="0" fillId="8" borderId="1" xfId="0" applyFill="1" applyBorder="1" applyAlignment="1">
      <alignment vertical="center" wrapText="1"/>
    </xf>
    <xf numFmtId="0" fontId="1" fillId="4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vertical="center" wrapText="1"/>
    </xf>
    <xf numFmtId="0" fontId="0" fillId="9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right" vertical="center" wrapText="1"/>
    </xf>
    <xf numFmtId="0" fontId="1" fillId="5" borderId="1" xfId="0" applyFont="1" applyFill="1" applyBorder="1" applyAlignment="1">
      <alignment vertical="center" wrapText="1"/>
    </xf>
    <xf numFmtId="0" fontId="0" fillId="10" borderId="1" xfId="0" applyFill="1" applyBorder="1" applyAlignment="1">
      <alignment vertical="center" wrapText="1"/>
    </xf>
    <xf numFmtId="0" fontId="0" fillId="10" borderId="1" xfId="0" applyFill="1" applyBorder="1" applyAlignment="1">
      <alignment horizontal="right" vertical="center" wrapText="1"/>
    </xf>
    <xf numFmtId="0" fontId="1" fillId="10" borderId="1" xfId="0" applyFont="1" applyFill="1" applyBorder="1" applyAlignment="1">
      <alignment vertical="center" wrapText="1"/>
    </xf>
    <xf numFmtId="0" fontId="1" fillId="0" borderId="2" xfId="0" applyFont="1" applyBorder="1"/>
    <xf numFmtId="0" fontId="0" fillId="0" borderId="2" xfId="0" applyBorder="1"/>
    <xf numFmtId="0" fontId="1" fillId="0" borderId="2" xfId="0" applyFont="1" applyBorder="1" applyAlignment="1">
      <alignment wrapText="1"/>
    </xf>
    <xf numFmtId="0" fontId="0" fillId="0" borderId="2" xfId="0" applyBorder="1" applyAlignment="1">
      <alignment wrapText="1"/>
    </xf>
    <xf numFmtId="0" fontId="0" fillId="11" borderId="1" xfId="0" applyFill="1" applyBorder="1" applyAlignment="1">
      <alignment vertical="center" wrapText="1"/>
    </xf>
    <xf numFmtId="0" fontId="1" fillId="0" borderId="3" xfId="0" applyFont="1" applyBorder="1"/>
    <xf numFmtId="0" fontId="0" fillId="0" borderId="3" xfId="0" applyBorder="1"/>
    <xf numFmtId="0" fontId="0" fillId="12" borderId="2" xfId="0" applyFill="1" applyBorder="1"/>
    <xf numFmtId="0" fontId="0" fillId="12" borderId="3" xfId="0" applyFill="1" applyBorder="1"/>
    <xf numFmtId="0" fontId="5" fillId="2" borderId="1" xfId="0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B7110A-7E18-4614-B0D4-EA6AD4B6A5D1}">
  <dimension ref="B2:K33"/>
  <sheetViews>
    <sheetView showGridLines="0" workbookViewId="0">
      <pane xSplit="3" ySplit="2" topLeftCell="D12" activePane="bottomRight" state="frozen"/>
      <selection pane="topRight"/>
      <selection pane="bottomLeft"/>
      <selection pane="bottomRight" activeCell="I12" sqref="I12"/>
    </sheetView>
  </sheetViews>
  <sheetFormatPr baseColWidth="10" defaultColWidth="9" defaultRowHeight="15" customHeight="1" x14ac:dyDescent="0.35"/>
  <cols>
    <col min="2" max="2" width="11.81640625" customWidth="1"/>
    <col min="9" max="9" width="16.453125" customWidth="1"/>
    <col min="10" max="10" width="15.7265625" customWidth="1"/>
    <col min="11" max="11" width="29.54296875" customWidth="1"/>
  </cols>
  <sheetData>
    <row r="2" spans="2:11" ht="58" x14ac:dyDescent="0.35">
      <c r="B2" s="31" t="s">
        <v>0</v>
      </c>
      <c r="C2" s="31" t="s">
        <v>1</v>
      </c>
      <c r="D2" s="31" t="s">
        <v>2</v>
      </c>
      <c r="E2" s="31" t="s">
        <v>3</v>
      </c>
      <c r="F2" s="31" t="s">
        <v>4</v>
      </c>
      <c r="G2" s="31" t="s">
        <v>5</v>
      </c>
      <c r="H2" s="31" t="s">
        <v>6</v>
      </c>
      <c r="I2" s="31" t="s">
        <v>7</v>
      </c>
      <c r="J2" s="31" t="s">
        <v>8</v>
      </c>
      <c r="K2" s="31" t="s">
        <v>9</v>
      </c>
    </row>
    <row r="3" spans="2:11" ht="14.5" x14ac:dyDescent="0.35">
      <c r="B3" s="32" t="s">
        <v>10</v>
      </c>
      <c r="C3" s="32" t="s">
        <v>11</v>
      </c>
      <c r="D3" s="32">
        <v>4</v>
      </c>
      <c r="E3" s="32">
        <v>4</v>
      </c>
      <c r="F3" s="32">
        <v>6</v>
      </c>
      <c r="G3" s="32">
        <f t="shared" ref="G3:G33" si="0">D3+E3</f>
        <v>8</v>
      </c>
      <c r="H3" s="32">
        <f t="shared" ref="H3:H33" si="1">D3+E3+F3</f>
        <v>14</v>
      </c>
      <c r="I3" s="32">
        <v>34</v>
      </c>
      <c r="J3" s="32">
        <f t="shared" ref="J3:J33" si="2">2*D3+E3+F3</f>
        <v>18</v>
      </c>
      <c r="K3" s="32">
        <f t="shared" ref="K3:K33" si="3">J3+I3/5</f>
        <v>24.8</v>
      </c>
    </row>
    <row r="4" spans="2:11" ht="14.5" x14ac:dyDescent="0.35">
      <c r="B4" s="32" t="s">
        <v>12</v>
      </c>
      <c r="C4" s="32" t="s">
        <v>13</v>
      </c>
      <c r="D4" s="32">
        <v>4</v>
      </c>
      <c r="E4" s="32">
        <v>5</v>
      </c>
      <c r="F4" s="32">
        <v>5</v>
      </c>
      <c r="G4" s="32">
        <f t="shared" si="0"/>
        <v>9</v>
      </c>
      <c r="H4" s="32">
        <f t="shared" si="1"/>
        <v>14</v>
      </c>
      <c r="I4" s="32">
        <v>34</v>
      </c>
      <c r="J4" s="32">
        <f t="shared" si="2"/>
        <v>18</v>
      </c>
      <c r="K4" s="32">
        <f t="shared" si="3"/>
        <v>24.8</v>
      </c>
    </row>
    <row r="5" spans="2:11" ht="14.5" x14ac:dyDescent="0.35">
      <c r="B5" s="32" t="s">
        <v>14</v>
      </c>
      <c r="C5" s="32" t="s">
        <v>11</v>
      </c>
      <c r="D5" s="32">
        <v>5</v>
      </c>
      <c r="E5" s="32">
        <v>3</v>
      </c>
      <c r="F5" s="32">
        <v>4</v>
      </c>
      <c r="G5" s="32">
        <f t="shared" si="0"/>
        <v>8</v>
      </c>
      <c r="H5" s="32">
        <f t="shared" si="1"/>
        <v>12</v>
      </c>
      <c r="I5" s="32">
        <v>38</v>
      </c>
      <c r="J5" s="32">
        <f t="shared" si="2"/>
        <v>17</v>
      </c>
      <c r="K5" s="32">
        <f t="shared" si="3"/>
        <v>24.6</v>
      </c>
    </row>
    <row r="6" spans="2:11" ht="14.5" x14ac:dyDescent="0.35">
      <c r="B6" s="32" t="s">
        <v>15</v>
      </c>
      <c r="C6" s="32" t="s">
        <v>11</v>
      </c>
      <c r="D6" s="32">
        <v>5</v>
      </c>
      <c r="E6" s="32">
        <v>4</v>
      </c>
      <c r="F6" s="32">
        <v>4</v>
      </c>
      <c r="G6" s="32">
        <f t="shared" si="0"/>
        <v>9</v>
      </c>
      <c r="H6" s="32">
        <f t="shared" si="1"/>
        <v>13</v>
      </c>
      <c r="I6" s="32">
        <v>32</v>
      </c>
      <c r="J6" s="32">
        <f t="shared" si="2"/>
        <v>18</v>
      </c>
      <c r="K6" s="32">
        <f t="shared" si="3"/>
        <v>24.4</v>
      </c>
    </row>
    <row r="7" spans="2:11" ht="14.5" x14ac:dyDescent="0.35">
      <c r="B7" s="32" t="s">
        <v>16</v>
      </c>
      <c r="C7" s="32" t="s">
        <v>13</v>
      </c>
      <c r="D7" s="32">
        <v>4</v>
      </c>
      <c r="E7" s="32">
        <v>5</v>
      </c>
      <c r="F7" s="32">
        <v>5</v>
      </c>
      <c r="G7" s="32">
        <f t="shared" si="0"/>
        <v>9</v>
      </c>
      <c r="H7" s="32">
        <f t="shared" si="1"/>
        <v>14</v>
      </c>
      <c r="I7" s="32">
        <v>31</v>
      </c>
      <c r="J7" s="32">
        <f t="shared" si="2"/>
        <v>18</v>
      </c>
      <c r="K7" s="32">
        <f t="shared" si="3"/>
        <v>24.2</v>
      </c>
    </row>
    <row r="8" spans="2:11" ht="14.5" x14ac:dyDescent="0.35">
      <c r="B8" s="32" t="s">
        <v>17</v>
      </c>
      <c r="C8" s="32" t="s">
        <v>11</v>
      </c>
      <c r="D8" s="32">
        <v>5</v>
      </c>
      <c r="E8" s="32">
        <v>5</v>
      </c>
      <c r="F8" s="32">
        <v>3</v>
      </c>
      <c r="G8" s="32">
        <f t="shared" si="0"/>
        <v>10</v>
      </c>
      <c r="H8" s="32">
        <f t="shared" si="1"/>
        <v>13</v>
      </c>
      <c r="I8" s="32">
        <v>30</v>
      </c>
      <c r="J8" s="32">
        <f t="shared" si="2"/>
        <v>18</v>
      </c>
      <c r="K8" s="32">
        <f t="shared" si="3"/>
        <v>24</v>
      </c>
    </row>
    <row r="9" spans="2:11" ht="14.5" x14ac:dyDescent="0.35">
      <c r="B9" s="32" t="s">
        <v>18</v>
      </c>
      <c r="C9" s="32" t="s">
        <v>13</v>
      </c>
      <c r="D9" s="32">
        <v>5</v>
      </c>
      <c r="E9" s="32">
        <v>3</v>
      </c>
      <c r="F9" s="32">
        <v>5</v>
      </c>
      <c r="G9" s="32">
        <f t="shared" si="0"/>
        <v>8</v>
      </c>
      <c r="H9" s="32">
        <f t="shared" si="1"/>
        <v>13</v>
      </c>
      <c r="I9" s="32">
        <v>30</v>
      </c>
      <c r="J9" s="32">
        <f t="shared" si="2"/>
        <v>18</v>
      </c>
      <c r="K9" s="32">
        <f t="shared" si="3"/>
        <v>24</v>
      </c>
    </row>
    <row r="10" spans="2:11" ht="14.5" x14ac:dyDescent="0.35">
      <c r="B10" s="32" t="s">
        <v>19</v>
      </c>
      <c r="C10" s="32" t="s">
        <v>13</v>
      </c>
      <c r="D10" s="32">
        <v>4</v>
      </c>
      <c r="E10" s="32">
        <v>4</v>
      </c>
      <c r="F10" s="32">
        <v>6</v>
      </c>
      <c r="G10" s="32">
        <f t="shared" si="0"/>
        <v>8</v>
      </c>
      <c r="H10" s="32">
        <f t="shared" si="1"/>
        <v>14</v>
      </c>
      <c r="I10" s="32">
        <v>30</v>
      </c>
      <c r="J10" s="32">
        <f t="shared" si="2"/>
        <v>18</v>
      </c>
      <c r="K10" s="32">
        <f t="shared" si="3"/>
        <v>24</v>
      </c>
    </row>
    <row r="11" spans="2:11" ht="14.5" x14ac:dyDescent="0.35">
      <c r="B11" s="32" t="s">
        <v>20</v>
      </c>
      <c r="C11" s="32" t="s">
        <v>11</v>
      </c>
      <c r="D11" s="32">
        <v>4</v>
      </c>
      <c r="E11" s="32">
        <v>5</v>
      </c>
      <c r="F11" s="32">
        <v>5</v>
      </c>
      <c r="G11" s="32">
        <f t="shared" si="0"/>
        <v>9</v>
      </c>
      <c r="H11" s="32">
        <f t="shared" si="1"/>
        <v>14</v>
      </c>
      <c r="I11" s="32">
        <v>30</v>
      </c>
      <c r="J11" s="32">
        <f t="shared" si="2"/>
        <v>18</v>
      </c>
      <c r="K11" s="32">
        <f t="shared" si="3"/>
        <v>24</v>
      </c>
    </row>
    <row r="12" spans="2:11" ht="14.5" x14ac:dyDescent="0.35">
      <c r="B12" s="32" t="s">
        <v>21</v>
      </c>
      <c r="C12" s="32" t="s">
        <v>11</v>
      </c>
      <c r="D12" s="32">
        <v>4</v>
      </c>
      <c r="E12" s="32">
        <v>5</v>
      </c>
      <c r="F12" s="32">
        <v>3</v>
      </c>
      <c r="G12" s="32">
        <f t="shared" si="0"/>
        <v>9</v>
      </c>
      <c r="H12" s="32">
        <f t="shared" si="1"/>
        <v>12</v>
      </c>
      <c r="I12" s="32">
        <v>37</v>
      </c>
      <c r="J12" s="32">
        <f t="shared" si="2"/>
        <v>16</v>
      </c>
      <c r="K12" s="32">
        <f t="shared" si="3"/>
        <v>23.4</v>
      </c>
    </row>
    <row r="13" spans="2:11" ht="14.5" x14ac:dyDescent="0.35">
      <c r="B13" s="32" t="s">
        <v>22</v>
      </c>
      <c r="C13" s="32" t="s">
        <v>11</v>
      </c>
      <c r="D13" s="32">
        <v>4</v>
      </c>
      <c r="E13" s="32">
        <v>4</v>
      </c>
      <c r="F13" s="32">
        <v>5</v>
      </c>
      <c r="G13" s="32">
        <f t="shared" si="0"/>
        <v>8</v>
      </c>
      <c r="H13" s="32">
        <f t="shared" si="1"/>
        <v>13</v>
      </c>
      <c r="I13" s="32">
        <v>30</v>
      </c>
      <c r="J13" s="32">
        <f t="shared" si="2"/>
        <v>17</v>
      </c>
      <c r="K13" s="32">
        <f t="shared" si="3"/>
        <v>23</v>
      </c>
    </row>
    <row r="14" spans="2:11" ht="14.5" x14ac:dyDescent="0.35">
      <c r="B14" s="32" t="s">
        <v>23</v>
      </c>
      <c r="C14" s="32" t="s">
        <v>11</v>
      </c>
      <c r="D14" s="32">
        <v>5</v>
      </c>
      <c r="E14" s="32">
        <v>3</v>
      </c>
      <c r="F14" s="32">
        <v>4</v>
      </c>
      <c r="G14" s="32">
        <f t="shared" si="0"/>
        <v>8</v>
      </c>
      <c r="H14" s="32">
        <f t="shared" si="1"/>
        <v>12</v>
      </c>
      <c r="I14" s="32">
        <v>30</v>
      </c>
      <c r="J14" s="32">
        <f t="shared" si="2"/>
        <v>17</v>
      </c>
      <c r="K14" s="32">
        <f t="shared" si="3"/>
        <v>23</v>
      </c>
    </row>
    <row r="15" spans="2:11" ht="14.5" x14ac:dyDescent="0.35">
      <c r="B15" s="32" t="s">
        <v>24</v>
      </c>
      <c r="C15" s="32" t="s">
        <v>11</v>
      </c>
      <c r="D15" s="32">
        <v>3</v>
      </c>
      <c r="E15" s="32">
        <v>5</v>
      </c>
      <c r="F15" s="32">
        <v>5</v>
      </c>
      <c r="G15" s="32">
        <f t="shared" si="0"/>
        <v>8</v>
      </c>
      <c r="H15" s="32">
        <f t="shared" si="1"/>
        <v>13</v>
      </c>
      <c r="I15" s="32">
        <v>34</v>
      </c>
      <c r="J15" s="32">
        <f t="shared" si="2"/>
        <v>16</v>
      </c>
      <c r="K15" s="32">
        <f t="shared" si="3"/>
        <v>22.8</v>
      </c>
    </row>
    <row r="16" spans="2:11" ht="14.5" x14ac:dyDescent="0.35">
      <c r="B16" s="32" t="s">
        <v>25</v>
      </c>
      <c r="C16" s="32" t="s">
        <v>11</v>
      </c>
      <c r="D16" s="32">
        <v>3</v>
      </c>
      <c r="E16" s="32">
        <v>5</v>
      </c>
      <c r="F16" s="32">
        <v>5</v>
      </c>
      <c r="G16" s="32">
        <f t="shared" si="0"/>
        <v>8</v>
      </c>
      <c r="H16" s="32">
        <f t="shared" si="1"/>
        <v>13</v>
      </c>
      <c r="I16" s="32">
        <v>34</v>
      </c>
      <c r="J16" s="32">
        <f t="shared" si="2"/>
        <v>16</v>
      </c>
      <c r="K16" s="32">
        <f t="shared" si="3"/>
        <v>22.8</v>
      </c>
    </row>
    <row r="17" spans="2:11" ht="14.5" x14ac:dyDescent="0.35">
      <c r="B17" s="32" t="s">
        <v>26</v>
      </c>
      <c r="C17" s="32" t="s">
        <v>11</v>
      </c>
      <c r="D17" s="32">
        <v>5</v>
      </c>
      <c r="E17" s="32">
        <v>3</v>
      </c>
      <c r="F17" s="32">
        <v>3</v>
      </c>
      <c r="G17" s="32">
        <f t="shared" si="0"/>
        <v>8</v>
      </c>
      <c r="H17" s="32">
        <f t="shared" si="1"/>
        <v>11</v>
      </c>
      <c r="I17" s="32">
        <v>32</v>
      </c>
      <c r="J17" s="32">
        <f t="shared" si="2"/>
        <v>16</v>
      </c>
      <c r="K17" s="32">
        <f t="shared" si="3"/>
        <v>22.4</v>
      </c>
    </row>
    <row r="18" spans="2:11" ht="14.5" x14ac:dyDescent="0.35">
      <c r="B18" s="32" t="s">
        <v>27</v>
      </c>
      <c r="C18" s="32" t="s">
        <v>11</v>
      </c>
      <c r="D18" s="32">
        <v>4</v>
      </c>
      <c r="E18" s="32">
        <v>3</v>
      </c>
      <c r="F18" s="32">
        <v>6</v>
      </c>
      <c r="G18" s="32">
        <f t="shared" si="0"/>
        <v>7</v>
      </c>
      <c r="H18" s="32">
        <f t="shared" si="1"/>
        <v>13</v>
      </c>
      <c r="I18" s="32">
        <v>27</v>
      </c>
      <c r="J18" s="32">
        <f t="shared" si="2"/>
        <v>17</v>
      </c>
      <c r="K18" s="32">
        <f t="shared" si="3"/>
        <v>22.4</v>
      </c>
    </row>
    <row r="19" spans="2:11" ht="14.5" x14ac:dyDescent="0.35">
      <c r="B19" s="32" t="s">
        <v>28</v>
      </c>
      <c r="C19" s="32" t="s">
        <v>11</v>
      </c>
      <c r="D19" s="32">
        <v>7</v>
      </c>
      <c r="E19" s="32">
        <v>2</v>
      </c>
      <c r="F19" s="32">
        <v>0</v>
      </c>
      <c r="G19" s="32">
        <f t="shared" si="0"/>
        <v>9</v>
      </c>
      <c r="H19" s="32">
        <f t="shared" si="1"/>
        <v>9</v>
      </c>
      <c r="I19" s="32">
        <v>31</v>
      </c>
      <c r="J19" s="32">
        <f t="shared" si="2"/>
        <v>16</v>
      </c>
      <c r="K19" s="32">
        <f t="shared" si="3"/>
        <v>22.2</v>
      </c>
    </row>
    <row r="20" spans="2:11" ht="14.5" x14ac:dyDescent="0.35">
      <c r="B20" s="32" t="s">
        <v>29</v>
      </c>
      <c r="C20" s="32" t="s">
        <v>11</v>
      </c>
      <c r="D20" s="32">
        <v>3</v>
      </c>
      <c r="E20" s="32">
        <v>4</v>
      </c>
      <c r="F20" s="32">
        <v>6</v>
      </c>
      <c r="G20" s="32">
        <f t="shared" si="0"/>
        <v>7</v>
      </c>
      <c r="H20" s="32">
        <f t="shared" si="1"/>
        <v>13</v>
      </c>
      <c r="I20" s="32">
        <v>31</v>
      </c>
      <c r="J20" s="32">
        <f t="shared" si="2"/>
        <v>16</v>
      </c>
      <c r="K20" s="32">
        <f t="shared" si="3"/>
        <v>22.2</v>
      </c>
    </row>
    <row r="21" spans="2:11" ht="14.5" x14ac:dyDescent="0.35">
      <c r="B21" s="32" t="s">
        <v>30</v>
      </c>
      <c r="C21" s="32" t="s">
        <v>11</v>
      </c>
      <c r="D21" s="32">
        <v>3</v>
      </c>
      <c r="E21" s="32">
        <v>4</v>
      </c>
      <c r="F21" s="32">
        <v>6</v>
      </c>
      <c r="G21" s="32">
        <f t="shared" si="0"/>
        <v>7</v>
      </c>
      <c r="H21" s="32">
        <f t="shared" si="1"/>
        <v>13</v>
      </c>
      <c r="I21" s="32">
        <v>30</v>
      </c>
      <c r="J21" s="32">
        <f t="shared" si="2"/>
        <v>16</v>
      </c>
      <c r="K21" s="32">
        <f t="shared" si="3"/>
        <v>22</v>
      </c>
    </row>
    <row r="22" spans="2:11" ht="14.5" x14ac:dyDescent="0.35">
      <c r="B22" s="32" t="s">
        <v>31</v>
      </c>
      <c r="C22" s="32" t="s">
        <v>13</v>
      </c>
      <c r="D22" s="32">
        <v>7</v>
      </c>
      <c r="E22" s="32">
        <v>1</v>
      </c>
      <c r="F22" s="32">
        <v>0</v>
      </c>
      <c r="G22" s="32">
        <f t="shared" si="0"/>
        <v>8</v>
      </c>
      <c r="H22" s="32">
        <f t="shared" si="1"/>
        <v>8</v>
      </c>
      <c r="I22" s="32">
        <v>27</v>
      </c>
      <c r="J22" s="32">
        <f t="shared" si="2"/>
        <v>15</v>
      </c>
      <c r="K22" s="32">
        <f t="shared" si="3"/>
        <v>20.399999999999999</v>
      </c>
    </row>
    <row r="23" spans="2:11" ht="14.5" x14ac:dyDescent="0.35">
      <c r="B23" s="32" t="s">
        <v>32</v>
      </c>
      <c r="C23" s="32" t="s">
        <v>11</v>
      </c>
      <c r="D23" s="32">
        <v>3</v>
      </c>
      <c r="E23" s="32">
        <v>3</v>
      </c>
      <c r="F23" s="32">
        <v>7</v>
      </c>
      <c r="G23" s="32">
        <f t="shared" si="0"/>
        <v>6</v>
      </c>
      <c r="H23" s="32">
        <f t="shared" si="1"/>
        <v>13</v>
      </c>
      <c r="I23" s="32">
        <v>21</v>
      </c>
      <c r="J23" s="32">
        <f t="shared" si="2"/>
        <v>16</v>
      </c>
      <c r="K23" s="32">
        <f t="shared" si="3"/>
        <v>20.2</v>
      </c>
    </row>
    <row r="24" spans="2:11" ht="14.5" x14ac:dyDescent="0.35">
      <c r="B24" s="32" t="s">
        <v>33</v>
      </c>
      <c r="C24" s="32" t="s">
        <v>34</v>
      </c>
      <c r="D24" s="32">
        <v>8</v>
      </c>
      <c r="E24" s="32">
        <v>1</v>
      </c>
      <c r="F24" s="32">
        <v>0</v>
      </c>
      <c r="G24" s="32">
        <f t="shared" si="0"/>
        <v>9</v>
      </c>
      <c r="H24" s="32">
        <f t="shared" si="1"/>
        <v>9</v>
      </c>
      <c r="I24" s="32">
        <v>15</v>
      </c>
      <c r="J24" s="32">
        <f t="shared" si="2"/>
        <v>17</v>
      </c>
      <c r="K24" s="32">
        <f t="shared" si="3"/>
        <v>20</v>
      </c>
    </row>
    <row r="25" spans="2:11" ht="14.5" x14ac:dyDescent="0.35">
      <c r="B25" s="32" t="s">
        <v>35</v>
      </c>
      <c r="C25" s="32" t="s">
        <v>34</v>
      </c>
      <c r="D25" s="32">
        <v>6</v>
      </c>
      <c r="E25" s="32">
        <v>3</v>
      </c>
      <c r="F25" s="32">
        <v>0</v>
      </c>
      <c r="G25" s="32">
        <f t="shared" si="0"/>
        <v>9</v>
      </c>
      <c r="H25" s="32">
        <f t="shared" si="1"/>
        <v>9</v>
      </c>
      <c r="I25" s="32">
        <v>16</v>
      </c>
      <c r="J25" s="32">
        <f t="shared" si="2"/>
        <v>15</v>
      </c>
      <c r="K25" s="32">
        <f t="shared" si="3"/>
        <v>18.2</v>
      </c>
    </row>
    <row r="26" spans="2:11" ht="14.5" x14ac:dyDescent="0.35">
      <c r="B26" s="32" t="s">
        <v>36</v>
      </c>
      <c r="C26" s="32" t="s">
        <v>34</v>
      </c>
      <c r="D26" s="32">
        <v>1</v>
      </c>
      <c r="E26" s="32">
        <v>8</v>
      </c>
      <c r="F26" s="32">
        <v>1</v>
      </c>
      <c r="G26" s="32">
        <f t="shared" si="0"/>
        <v>9</v>
      </c>
      <c r="H26" s="32">
        <f t="shared" si="1"/>
        <v>10</v>
      </c>
      <c r="I26" s="32">
        <v>29</v>
      </c>
      <c r="J26" s="32">
        <f t="shared" si="2"/>
        <v>11</v>
      </c>
      <c r="K26" s="32">
        <f t="shared" si="3"/>
        <v>16.8</v>
      </c>
    </row>
    <row r="27" spans="2:11" ht="14.5" x14ac:dyDescent="0.35">
      <c r="B27" s="32" t="s">
        <v>37</v>
      </c>
      <c r="C27" s="32" t="s">
        <v>34</v>
      </c>
      <c r="D27" s="32">
        <v>2</v>
      </c>
      <c r="E27" s="32">
        <v>6</v>
      </c>
      <c r="F27" s="32">
        <v>1</v>
      </c>
      <c r="G27" s="32">
        <f t="shared" si="0"/>
        <v>8</v>
      </c>
      <c r="H27" s="32">
        <f t="shared" si="1"/>
        <v>9</v>
      </c>
      <c r="I27" s="32">
        <v>27</v>
      </c>
      <c r="J27" s="32">
        <f t="shared" si="2"/>
        <v>11</v>
      </c>
      <c r="K27" s="32">
        <f t="shared" si="3"/>
        <v>16.399999999999999</v>
      </c>
    </row>
    <row r="28" spans="2:11" ht="14.5" x14ac:dyDescent="0.35">
      <c r="B28" s="32" t="s">
        <v>38</v>
      </c>
      <c r="C28" s="32" t="s">
        <v>34</v>
      </c>
      <c r="D28" s="32">
        <v>2</v>
      </c>
      <c r="E28" s="32">
        <v>5</v>
      </c>
      <c r="F28" s="32">
        <v>3</v>
      </c>
      <c r="G28" s="32">
        <f t="shared" si="0"/>
        <v>7</v>
      </c>
      <c r="H28" s="32">
        <f t="shared" si="1"/>
        <v>10</v>
      </c>
      <c r="I28" s="32">
        <v>21</v>
      </c>
      <c r="J28" s="32">
        <f t="shared" si="2"/>
        <v>12</v>
      </c>
      <c r="K28" s="32">
        <f t="shared" si="3"/>
        <v>16.2</v>
      </c>
    </row>
    <row r="29" spans="2:11" ht="14.5" x14ac:dyDescent="0.35">
      <c r="B29" s="32" t="s">
        <v>39</v>
      </c>
      <c r="C29" s="32" t="s">
        <v>13</v>
      </c>
      <c r="D29" s="32">
        <v>0</v>
      </c>
      <c r="E29" s="32">
        <v>6</v>
      </c>
      <c r="F29" s="32">
        <v>5</v>
      </c>
      <c r="G29" s="32">
        <f t="shared" si="0"/>
        <v>6</v>
      </c>
      <c r="H29" s="32">
        <f t="shared" si="1"/>
        <v>11</v>
      </c>
      <c r="I29" s="32">
        <v>22</v>
      </c>
      <c r="J29" s="32">
        <f t="shared" si="2"/>
        <v>11</v>
      </c>
      <c r="K29" s="32">
        <f t="shared" si="3"/>
        <v>15.4</v>
      </c>
    </row>
    <row r="30" spans="2:11" ht="14.5" x14ac:dyDescent="0.35">
      <c r="B30" s="32" t="s">
        <v>40</v>
      </c>
      <c r="C30" s="32" t="s">
        <v>34</v>
      </c>
      <c r="D30" s="32">
        <v>1</v>
      </c>
      <c r="E30" s="32">
        <v>7</v>
      </c>
      <c r="F30" s="32">
        <v>2</v>
      </c>
      <c r="G30" s="32">
        <f t="shared" si="0"/>
        <v>8</v>
      </c>
      <c r="H30" s="32">
        <f t="shared" si="1"/>
        <v>10</v>
      </c>
      <c r="I30" s="32">
        <v>21</v>
      </c>
      <c r="J30" s="32">
        <f t="shared" si="2"/>
        <v>11</v>
      </c>
      <c r="K30" s="32">
        <f t="shared" si="3"/>
        <v>15.2</v>
      </c>
    </row>
    <row r="31" spans="2:11" ht="14.5" x14ac:dyDescent="0.35">
      <c r="B31" s="32" t="s">
        <v>41</v>
      </c>
      <c r="C31" s="32" t="s">
        <v>34</v>
      </c>
      <c r="D31" s="32">
        <v>2</v>
      </c>
      <c r="E31" s="32">
        <v>5</v>
      </c>
      <c r="F31" s="32">
        <v>2</v>
      </c>
      <c r="G31" s="32">
        <f t="shared" si="0"/>
        <v>7</v>
      </c>
      <c r="H31" s="32">
        <f t="shared" si="1"/>
        <v>9</v>
      </c>
      <c r="I31" s="32">
        <v>20</v>
      </c>
      <c r="J31" s="32">
        <f t="shared" si="2"/>
        <v>11</v>
      </c>
      <c r="K31" s="32">
        <f t="shared" si="3"/>
        <v>15</v>
      </c>
    </row>
    <row r="32" spans="2:11" ht="14.5" x14ac:dyDescent="0.35">
      <c r="B32" s="32" t="s">
        <v>42</v>
      </c>
      <c r="C32" s="32" t="s">
        <v>34</v>
      </c>
      <c r="D32" s="32">
        <v>0</v>
      </c>
      <c r="E32" s="32">
        <v>3</v>
      </c>
      <c r="F32" s="32">
        <v>0</v>
      </c>
      <c r="G32" s="32">
        <f t="shared" si="0"/>
        <v>3</v>
      </c>
      <c r="H32" s="32">
        <f t="shared" si="1"/>
        <v>3</v>
      </c>
      <c r="I32" s="32">
        <v>13</v>
      </c>
      <c r="J32" s="32">
        <f t="shared" si="2"/>
        <v>3</v>
      </c>
      <c r="K32" s="32">
        <f t="shared" si="3"/>
        <v>5.6</v>
      </c>
    </row>
    <row r="33" spans="2:11" ht="14.5" x14ac:dyDescent="0.35">
      <c r="B33" s="32" t="s">
        <v>43</v>
      </c>
      <c r="C33" s="32" t="s">
        <v>13</v>
      </c>
      <c r="D33" s="32">
        <v>0</v>
      </c>
      <c r="E33" s="32">
        <v>2</v>
      </c>
      <c r="F33" s="32">
        <v>0</v>
      </c>
      <c r="G33" s="32">
        <f t="shared" si="0"/>
        <v>2</v>
      </c>
      <c r="H33" s="32">
        <f t="shared" si="1"/>
        <v>2</v>
      </c>
      <c r="I33" s="32">
        <v>8</v>
      </c>
      <c r="J33" s="32">
        <f t="shared" si="2"/>
        <v>2</v>
      </c>
      <c r="K33" s="32">
        <f t="shared" si="3"/>
        <v>3.6</v>
      </c>
    </row>
  </sheetData>
  <autoFilter ref="B2:K33" xr:uid="{E3B7110A-7E18-4614-B0D4-EA6AD4B6A5D1}">
    <sortState xmlns:xlrd2="http://schemas.microsoft.com/office/spreadsheetml/2017/richdata2" ref="B3:K33">
      <sortCondition descending="1" ref="K2:K33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298B4-E86D-4A75-9A93-61D4E3BFF6A0}">
  <dimension ref="B2:Q21"/>
  <sheetViews>
    <sheetView showGridLines="0" zoomScale="150" zoomScaleNormal="150" workbookViewId="0">
      <selection activeCell="B2" sqref="B2"/>
    </sheetView>
  </sheetViews>
  <sheetFormatPr baseColWidth="10" defaultColWidth="9" defaultRowHeight="15" customHeight="1" x14ac:dyDescent="0.35"/>
  <cols>
    <col min="11" max="11" width="8.7265625" customWidth="1"/>
  </cols>
  <sheetData>
    <row r="2" spans="2:12" ht="43.5" x14ac:dyDescent="0.35">
      <c r="B2" s="1" t="s">
        <v>44</v>
      </c>
      <c r="C2" s="1" t="s">
        <v>45</v>
      </c>
      <c r="D2" s="3" t="s">
        <v>46</v>
      </c>
      <c r="E2" s="3" t="s">
        <v>47</v>
      </c>
      <c r="F2" s="3" t="s">
        <v>48</v>
      </c>
      <c r="G2" s="3" t="s">
        <v>49</v>
      </c>
      <c r="H2" s="3" t="s">
        <v>50</v>
      </c>
      <c r="I2" s="3" t="s">
        <v>51</v>
      </c>
      <c r="J2" s="3" t="s">
        <v>52</v>
      </c>
      <c r="K2" s="3" t="s">
        <v>53</v>
      </c>
      <c r="L2" s="3" t="s">
        <v>54</v>
      </c>
    </row>
    <row r="3" spans="2:12" ht="14.5" x14ac:dyDescent="0.35">
      <c r="B3" s="2" t="s">
        <v>55</v>
      </c>
      <c r="C3" s="2" t="s">
        <v>56</v>
      </c>
      <c r="D3" s="4">
        <v>3</v>
      </c>
      <c r="E3" s="4">
        <v>7</v>
      </c>
      <c r="F3" s="4">
        <v>0</v>
      </c>
      <c r="G3" s="4">
        <v>0</v>
      </c>
      <c r="H3" s="4">
        <v>0</v>
      </c>
      <c r="I3" s="4">
        <v>0</v>
      </c>
      <c r="J3" s="4">
        <v>0</v>
      </c>
      <c r="K3" s="4">
        <v>0</v>
      </c>
      <c r="L3" s="4">
        <f t="shared" ref="L3:L19" si="0">SUM(D3:K3)</f>
        <v>10</v>
      </c>
    </row>
    <row r="4" spans="2:12" ht="14.5" x14ac:dyDescent="0.35">
      <c r="B4" s="2" t="s">
        <v>55</v>
      </c>
      <c r="C4" s="2" t="s">
        <v>57</v>
      </c>
      <c r="D4" s="4">
        <v>19</v>
      </c>
      <c r="E4" s="4">
        <v>14</v>
      </c>
      <c r="F4" s="4">
        <v>1</v>
      </c>
      <c r="G4" s="4">
        <v>0</v>
      </c>
      <c r="H4" s="4">
        <v>1</v>
      </c>
      <c r="I4" s="4">
        <v>3</v>
      </c>
      <c r="J4" s="4">
        <v>0</v>
      </c>
      <c r="K4" s="4">
        <v>1</v>
      </c>
      <c r="L4" s="4">
        <f t="shared" si="0"/>
        <v>39</v>
      </c>
    </row>
    <row r="5" spans="2:12" ht="14.5" x14ac:dyDescent="0.35">
      <c r="B5" s="2" t="s">
        <v>58</v>
      </c>
      <c r="C5" s="2" t="s">
        <v>56</v>
      </c>
      <c r="D5" s="4">
        <v>8</v>
      </c>
      <c r="E5" s="4">
        <v>0</v>
      </c>
      <c r="F5" s="4">
        <v>0</v>
      </c>
      <c r="G5" s="4"/>
      <c r="H5" s="4">
        <v>0</v>
      </c>
      <c r="I5" s="4">
        <v>0</v>
      </c>
      <c r="J5" s="4">
        <v>0</v>
      </c>
      <c r="K5" s="4">
        <v>0</v>
      </c>
      <c r="L5" s="4">
        <f t="shared" si="0"/>
        <v>8</v>
      </c>
    </row>
    <row r="6" spans="2:12" ht="14.5" x14ac:dyDescent="0.35">
      <c r="B6" s="2" t="s">
        <v>58</v>
      </c>
      <c r="C6" s="2" t="s">
        <v>57</v>
      </c>
      <c r="D6" s="4">
        <v>25</v>
      </c>
      <c r="E6" s="4">
        <v>9</v>
      </c>
      <c r="F6" s="4">
        <v>2</v>
      </c>
      <c r="G6" s="4">
        <v>0</v>
      </c>
      <c r="H6" s="4">
        <v>0</v>
      </c>
      <c r="I6" s="4">
        <v>0</v>
      </c>
      <c r="J6" s="4">
        <v>0</v>
      </c>
      <c r="K6" s="4">
        <v>1</v>
      </c>
      <c r="L6" s="4">
        <f t="shared" si="0"/>
        <v>37</v>
      </c>
    </row>
    <row r="7" spans="2:12" ht="14.5" x14ac:dyDescent="0.35">
      <c r="B7" s="2" t="s">
        <v>59</v>
      </c>
      <c r="C7" s="2" t="s">
        <v>56</v>
      </c>
      <c r="D7" s="4">
        <v>8</v>
      </c>
      <c r="E7" s="4">
        <v>8</v>
      </c>
      <c r="F7" s="4">
        <v>0</v>
      </c>
      <c r="G7" s="4"/>
      <c r="H7" s="4">
        <v>0</v>
      </c>
      <c r="I7" s="4">
        <v>0</v>
      </c>
      <c r="J7" s="4">
        <v>0</v>
      </c>
      <c r="K7" s="4">
        <v>0</v>
      </c>
      <c r="L7" s="4">
        <f t="shared" si="0"/>
        <v>16</v>
      </c>
    </row>
    <row r="8" spans="2:12" ht="14.5" x14ac:dyDescent="0.35">
      <c r="B8" s="2" t="s">
        <v>59</v>
      </c>
      <c r="C8" s="2" t="s">
        <v>57</v>
      </c>
      <c r="D8" s="4">
        <v>35</v>
      </c>
      <c r="E8" s="4">
        <v>5</v>
      </c>
      <c r="F8" s="4">
        <v>3</v>
      </c>
      <c r="G8" s="4">
        <v>0</v>
      </c>
      <c r="H8" s="4">
        <v>1</v>
      </c>
      <c r="I8" s="4">
        <v>0</v>
      </c>
      <c r="J8" s="4">
        <v>2</v>
      </c>
      <c r="K8" s="4">
        <v>0</v>
      </c>
      <c r="L8" s="4">
        <f t="shared" si="0"/>
        <v>46</v>
      </c>
    </row>
    <row r="9" spans="2:12" ht="14.5" x14ac:dyDescent="0.35">
      <c r="B9" s="2" t="s">
        <v>60</v>
      </c>
      <c r="C9" s="2" t="s">
        <v>56</v>
      </c>
      <c r="D9" s="4">
        <v>8</v>
      </c>
      <c r="E9" s="4">
        <v>2</v>
      </c>
      <c r="F9" s="4">
        <v>0</v>
      </c>
      <c r="G9" s="4"/>
      <c r="H9" s="4">
        <v>0</v>
      </c>
      <c r="I9" s="4">
        <v>0</v>
      </c>
      <c r="J9" s="4">
        <v>0</v>
      </c>
      <c r="K9" s="4">
        <v>0</v>
      </c>
      <c r="L9" s="4">
        <f t="shared" si="0"/>
        <v>10</v>
      </c>
    </row>
    <row r="10" spans="2:12" ht="14.5" x14ac:dyDescent="0.35">
      <c r="B10" s="2" t="s">
        <v>60</v>
      </c>
      <c r="C10" s="2" t="s">
        <v>57</v>
      </c>
      <c r="D10" s="4">
        <v>40</v>
      </c>
      <c r="E10" s="4">
        <v>0</v>
      </c>
      <c r="F10" s="4">
        <v>6</v>
      </c>
      <c r="G10" s="4">
        <v>0</v>
      </c>
      <c r="H10" s="4">
        <v>0</v>
      </c>
      <c r="I10" s="4">
        <v>2</v>
      </c>
      <c r="J10" s="4">
        <v>0</v>
      </c>
      <c r="K10" s="4">
        <v>0</v>
      </c>
      <c r="L10" s="4">
        <f t="shared" si="0"/>
        <v>48</v>
      </c>
    </row>
    <row r="11" spans="2:12" ht="14.5" x14ac:dyDescent="0.35">
      <c r="B11" s="2" t="s">
        <v>61</v>
      </c>
      <c r="C11" s="2" t="s">
        <v>56</v>
      </c>
      <c r="D11" s="4">
        <v>8</v>
      </c>
      <c r="E11" s="4">
        <v>3</v>
      </c>
      <c r="F11" s="4">
        <v>0</v>
      </c>
      <c r="G11" s="4"/>
      <c r="H11" s="4">
        <v>0</v>
      </c>
      <c r="I11" s="4">
        <v>0</v>
      </c>
      <c r="J11" s="4">
        <v>0</v>
      </c>
      <c r="K11" s="4">
        <v>0</v>
      </c>
      <c r="L11" s="4">
        <f t="shared" si="0"/>
        <v>11</v>
      </c>
    </row>
    <row r="12" spans="2:12" ht="14.5" x14ac:dyDescent="0.35">
      <c r="B12" s="2" t="s">
        <v>61</v>
      </c>
      <c r="C12" s="2" t="s">
        <v>57</v>
      </c>
      <c r="D12" s="4">
        <v>42</v>
      </c>
      <c r="E12" s="4">
        <v>0</v>
      </c>
      <c r="F12" s="4">
        <v>0</v>
      </c>
      <c r="G12" s="4">
        <v>0</v>
      </c>
      <c r="H12" s="4">
        <v>0</v>
      </c>
      <c r="I12" s="4">
        <v>0</v>
      </c>
      <c r="J12" s="4">
        <v>0</v>
      </c>
      <c r="K12" s="4">
        <v>0</v>
      </c>
      <c r="L12" s="4">
        <f t="shared" si="0"/>
        <v>42</v>
      </c>
    </row>
    <row r="13" spans="2:12" ht="29" x14ac:dyDescent="0.35">
      <c r="B13" s="2" t="s">
        <v>62</v>
      </c>
      <c r="C13" s="2" t="s">
        <v>56</v>
      </c>
      <c r="D13" s="4">
        <v>12</v>
      </c>
      <c r="E13" s="4">
        <v>0</v>
      </c>
      <c r="F13" s="4">
        <v>0</v>
      </c>
      <c r="G13" s="4"/>
      <c r="H13" s="4">
        <v>0</v>
      </c>
      <c r="I13" s="4">
        <v>0</v>
      </c>
      <c r="J13" s="4">
        <v>0</v>
      </c>
      <c r="K13" s="4">
        <v>0</v>
      </c>
      <c r="L13" s="4">
        <f t="shared" si="0"/>
        <v>12</v>
      </c>
    </row>
    <row r="14" spans="2:12" ht="29" x14ac:dyDescent="0.35">
      <c r="B14" s="2" t="s">
        <v>62</v>
      </c>
      <c r="C14" s="2" t="s">
        <v>57</v>
      </c>
      <c r="D14" s="4">
        <v>50</v>
      </c>
      <c r="E14" s="4">
        <v>0</v>
      </c>
      <c r="F14" s="4">
        <v>0</v>
      </c>
      <c r="G14" s="4">
        <v>0</v>
      </c>
      <c r="H14" s="4">
        <v>0</v>
      </c>
      <c r="I14" s="4">
        <v>0</v>
      </c>
      <c r="J14" s="4">
        <v>1</v>
      </c>
      <c r="K14" s="4">
        <v>0</v>
      </c>
      <c r="L14" s="4">
        <f t="shared" si="0"/>
        <v>51</v>
      </c>
    </row>
    <row r="15" spans="2:12" ht="14.5" x14ac:dyDescent="0.35">
      <c r="B15" s="2" t="s">
        <v>63</v>
      </c>
      <c r="C15" s="2" t="s">
        <v>56</v>
      </c>
      <c r="D15" s="4">
        <v>12</v>
      </c>
      <c r="E15" s="4">
        <v>0</v>
      </c>
      <c r="F15" s="4">
        <v>0</v>
      </c>
      <c r="G15" s="4"/>
      <c r="H15" s="4">
        <v>0</v>
      </c>
      <c r="I15" s="4">
        <v>0</v>
      </c>
      <c r="J15" s="4">
        <v>0</v>
      </c>
      <c r="K15" s="4">
        <v>0</v>
      </c>
      <c r="L15" s="4">
        <f t="shared" si="0"/>
        <v>12</v>
      </c>
    </row>
    <row r="16" spans="2:12" ht="14.5" x14ac:dyDescent="0.35">
      <c r="B16" s="2" t="s">
        <v>63</v>
      </c>
      <c r="C16" s="2" t="s">
        <v>57</v>
      </c>
      <c r="D16" s="4">
        <v>42</v>
      </c>
      <c r="E16" s="4">
        <v>0</v>
      </c>
      <c r="F16" s="4">
        <v>0</v>
      </c>
      <c r="G16" s="4">
        <v>2</v>
      </c>
      <c r="H16" s="4">
        <v>0</v>
      </c>
      <c r="I16" s="4">
        <v>0</v>
      </c>
      <c r="J16" s="4">
        <v>0</v>
      </c>
      <c r="K16" s="4">
        <v>0</v>
      </c>
      <c r="L16" s="4">
        <f t="shared" si="0"/>
        <v>44</v>
      </c>
    </row>
    <row r="17" spans="2:17" ht="29" x14ac:dyDescent="0.35">
      <c r="B17" s="2" t="s">
        <v>64</v>
      </c>
      <c r="C17" s="2" t="s">
        <v>56</v>
      </c>
      <c r="D17" s="4">
        <v>9</v>
      </c>
      <c r="E17" s="4">
        <v>0</v>
      </c>
      <c r="F17" s="4">
        <v>0</v>
      </c>
      <c r="G17" s="4"/>
      <c r="H17" s="4">
        <v>0</v>
      </c>
      <c r="I17" s="4">
        <v>0</v>
      </c>
      <c r="J17" s="4">
        <v>0</v>
      </c>
      <c r="K17" s="4">
        <v>0</v>
      </c>
      <c r="L17" s="4">
        <f t="shared" si="0"/>
        <v>9</v>
      </c>
    </row>
    <row r="18" spans="2:17" ht="29" x14ac:dyDescent="0.35">
      <c r="B18" s="2" t="s">
        <v>64</v>
      </c>
      <c r="C18" s="2" t="s">
        <v>57</v>
      </c>
      <c r="D18" s="4">
        <v>11</v>
      </c>
      <c r="E18" s="4">
        <v>4</v>
      </c>
      <c r="F18" s="4">
        <v>0</v>
      </c>
      <c r="G18" s="4">
        <v>0</v>
      </c>
      <c r="H18" s="4">
        <v>0</v>
      </c>
      <c r="I18" s="4">
        <v>0</v>
      </c>
      <c r="J18" s="4">
        <v>0</v>
      </c>
      <c r="K18" s="4">
        <v>0</v>
      </c>
      <c r="L18" s="4">
        <f t="shared" si="0"/>
        <v>15</v>
      </c>
    </row>
    <row r="19" spans="2:17" ht="29" x14ac:dyDescent="0.35">
      <c r="B19" s="2" t="s">
        <v>65</v>
      </c>
      <c r="C19" s="2" t="s">
        <v>56</v>
      </c>
      <c r="D19" s="4">
        <v>0</v>
      </c>
      <c r="E19" s="4">
        <v>0</v>
      </c>
      <c r="F19" s="4">
        <v>0</v>
      </c>
      <c r="G19" s="4"/>
      <c r="H19" s="4">
        <v>0</v>
      </c>
      <c r="I19" s="4">
        <v>0</v>
      </c>
      <c r="J19" s="4">
        <v>0</v>
      </c>
      <c r="K19" s="4">
        <v>0</v>
      </c>
      <c r="L19" s="4">
        <f t="shared" si="0"/>
        <v>0</v>
      </c>
    </row>
    <row r="20" spans="2:17" ht="29" x14ac:dyDescent="0.35">
      <c r="B20" s="2" t="s">
        <v>65</v>
      </c>
      <c r="C20" s="2" t="s">
        <v>57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0</v>
      </c>
      <c r="K20" s="4">
        <v>0</v>
      </c>
      <c r="L20" s="4">
        <f>SUM(D20:K20)</f>
        <v>0</v>
      </c>
      <c r="Q20">
        <f>SUM(D21:K21)</f>
        <v>410</v>
      </c>
    </row>
    <row r="21" spans="2:17" ht="14.5" x14ac:dyDescent="0.35">
      <c r="B21" s="2" t="s">
        <v>54</v>
      </c>
      <c r="C21" s="2"/>
      <c r="D21" s="4">
        <f>+SUM(D3:D20)</f>
        <v>332</v>
      </c>
      <c r="E21" s="4">
        <f t="shared" ref="E21:K21" si="1">+SUM(E3:E20)</f>
        <v>52</v>
      </c>
      <c r="F21" s="4">
        <f>+SUM(F3:F20)</f>
        <v>12</v>
      </c>
      <c r="G21" s="4">
        <f>+SUM(G3:G20)</f>
        <v>2</v>
      </c>
      <c r="H21" s="4">
        <f>+SUM(H3:H20)</f>
        <v>2</v>
      </c>
      <c r="I21" s="4">
        <f t="shared" si="1"/>
        <v>5</v>
      </c>
      <c r="J21" s="4">
        <f t="shared" si="1"/>
        <v>3</v>
      </c>
      <c r="K21" s="4">
        <f t="shared" si="1"/>
        <v>2</v>
      </c>
      <c r="L21" s="4">
        <f>+SUM(L3:L20)</f>
        <v>410</v>
      </c>
    </row>
  </sheetData>
  <autoFilter ref="B2:K21" xr:uid="{ACF298B4-E86D-4A75-9A93-61D4E3BFF6A0}">
    <sortState xmlns:xlrd2="http://schemas.microsoft.com/office/spreadsheetml/2017/richdata2" ref="B3:K21">
      <sortCondition ref="C2:C21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0D493-7048-4E90-AB27-8E97DAEE548E}">
  <dimension ref="B2:P24"/>
  <sheetViews>
    <sheetView showGridLines="0" topLeftCell="A10" zoomScale="70" zoomScaleNormal="70" workbookViewId="0">
      <pane xSplit="3" topLeftCell="D1" activePane="topRight" state="frozen"/>
      <selection activeCell="A11" sqref="A11"/>
      <selection pane="topRight" activeCell="F28" sqref="F28"/>
    </sheetView>
  </sheetViews>
  <sheetFormatPr baseColWidth="10" defaultColWidth="9" defaultRowHeight="14.5" x14ac:dyDescent="0.35"/>
  <cols>
    <col min="10" max="10" width="40.54296875" customWidth="1"/>
    <col min="11" max="11" width="12.26953125" customWidth="1"/>
    <col min="12" max="12" width="9.1796875" customWidth="1"/>
    <col min="13" max="13" width="6.453125" customWidth="1"/>
    <col min="14" max="14" width="9.7265625" customWidth="1"/>
    <col min="15" max="15" width="17.1796875" customWidth="1"/>
    <col min="16" max="16" width="18.26953125" customWidth="1"/>
  </cols>
  <sheetData>
    <row r="2" spans="2:16" ht="43.5" x14ac:dyDescent="0.35">
      <c r="B2" s="1" t="s">
        <v>44</v>
      </c>
      <c r="C2" s="1" t="s">
        <v>66</v>
      </c>
      <c r="D2" s="1" t="s">
        <v>67</v>
      </c>
      <c r="E2" s="1" t="s">
        <v>45</v>
      </c>
      <c r="F2" s="1" t="s">
        <v>68</v>
      </c>
      <c r="G2" s="1" t="s">
        <v>69</v>
      </c>
      <c r="H2" s="1" t="s">
        <v>70</v>
      </c>
      <c r="I2" s="3" t="s">
        <v>71</v>
      </c>
      <c r="J2" s="3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</row>
    <row r="3" spans="2:16" ht="29" x14ac:dyDescent="0.35">
      <c r="B3" s="6" t="s">
        <v>55</v>
      </c>
      <c r="C3" s="6" t="s">
        <v>79</v>
      </c>
      <c r="D3" s="6" t="s">
        <v>80</v>
      </c>
      <c r="E3" s="6" t="s">
        <v>56</v>
      </c>
      <c r="F3" s="6" t="s">
        <v>81</v>
      </c>
      <c r="G3" s="6" t="s">
        <v>46</v>
      </c>
      <c r="H3" s="26"/>
      <c r="I3" s="27"/>
      <c r="J3" s="27"/>
      <c r="K3" s="26"/>
      <c r="L3" s="26"/>
      <c r="M3" s="26"/>
      <c r="N3" s="26"/>
      <c r="O3" s="26"/>
      <c r="P3" s="6"/>
    </row>
    <row r="4" spans="2:16" ht="29" x14ac:dyDescent="0.35">
      <c r="B4" s="2" t="s">
        <v>55</v>
      </c>
      <c r="C4" s="2" t="s">
        <v>79</v>
      </c>
      <c r="D4" s="2" t="s">
        <v>80</v>
      </c>
      <c r="E4" s="2" t="s">
        <v>57</v>
      </c>
      <c r="F4" s="2" t="s">
        <v>81</v>
      </c>
      <c r="G4" s="2" t="s">
        <v>46</v>
      </c>
      <c r="H4" s="26"/>
      <c r="I4" s="27"/>
      <c r="J4" s="27"/>
      <c r="K4" s="26"/>
      <c r="L4" s="26"/>
      <c r="M4" s="26"/>
      <c r="N4" s="26"/>
      <c r="O4" s="28"/>
      <c r="P4" s="2" t="s">
        <v>82</v>
      </c>
    </row>
    <row r="5" spans="2:16" ht="29" x14ac:dyDescent="0.35">
      <c r="B5" s="2" t="s">
        <v>55</v>
      </c>
      <c r="C5" s="2" t="s">
        <v>79</v>
      </c>
      <c r="D5" s="2" t="s">
        <v>80</v>
      </c>
      <c r="E5" s="2" t="s">
        <v>57</v>
      </c>
      <c r="F5" s="2" t="s">
        <v>81</v>
      </c>
      <c r="G5" s="2" t="s">
        <v>47</v>
      </c>
      <c r="H5" s="26"/>
      <c r="I5" s="27"/>
      <c r="J5" s="27"/>
      <c r="K5" s="26"/>
      <c r="L5" s="26"/>
      <c r="M5" s="26"/>
      <c r="N5" s="26"/>
      <c r="O5" s="28"/>
      <c r="P5" s="2" t="s">
        <v>82</v>
      </c>
    </row>
    <row r="6" spans="2:16" ht="29" x14ac:dyDescent="0.35">
      <c r="B6" s="6" t="s">
        <v>55</v>
      </c>
      <c r="C6" s="6" t="s">
        <v>83</v>
      </c>
      <c r="D6" s="6" t="s">
        <v>84</v>
      </c>
      <c r="E6" s="6" t="s">
        <v>56</v>
      </c>
      <c r="F6" s="6" t="s">
        <v>81</v>
      </c>
      <c r="G6" s="6" t="s">
        <v>85</v>
      </c>
      <c r="H6" s="6" t="s">
        <v>86</v>
      </c>
      <c r="I6" s="7">
        <v>0</v>
      </c>
      <c r="J6" s="7"/>
      <c r="K6" s="6"/>
      <c r="L6" s="6"/>
      <c r="M6" s="6"/>
      <c r="N6" s="6"/>
      <c r="O6" s="6" t="s">
        <v>19</v>
      </c>
      <c r="P6" s="6" t="s">
        <v>87</v>
      </c>
    </row>
    <row r="7" spans="2:16" ht="72.5" x14ac:dyDescent="0.35">
      <c r="B7" s="2" t="s">
        <v>55</v>
      </c>
      <c r="C7" s="2" t="s">
        <v>83</v>
      </c>
      <c r="D7" s="2" t="s">
        <v>84</v>
      </c>
      <c r="E7" s="2" t="s">
        <v>57</v>
      </c>
      <c r="F7" s="2" t="s">
        <v>81</v>
      </c>
      <c r="G7" s="2" t="s">
        <v>46</v>
      </c>
      <c r="H7" s="2" t="s">
        <v>88</v>
      </c>
      <c r="I7" s="4">
        <v>4</v>
      </c>
      <c r="J7" s="4" t="s">
        <v>89</v>
      </c>
      <c r="K7" s="2" t="s">
        <v>17</v>
      </c>
      <c r="L7" s="2" t="s">
        <v>25</v>
      </c>
      <c r="M7" s="2"/>
      <c r="N7" s="2"/>
      <c r="O7" s="19"/>
      <c r="P7" s="2" t="s">
        <v>82</v>
      </c>
    </row>
    <row r="8" spans="2:16" ht="43.5" x14ac:dyDescent="0.35">
      <c r="B8" s="2" t="s">
        <v>55</v>
      </c>
      <c r="C8" s="2" t="s">
        <v>83</v>
      </c>
      <c r="D8" s="2" t="s">
        <v>84</v>
      </c>
      <c r="E8" s="2" t="s">
        <v>57</v>
      </c>
      <c r="F8" s="2" t="s">
        <v>81</v>
      </c>
      <c r="G8" s="2" t="s">
        <v>47</v>
      </c>
      <c r="H8" s="2" t="s">
        <v>90</v>
      </c>
      <c r="I8" s="4">
        <v>3</v>
      </c>
      <c r="J8" s="4" t="s">
        <v>91</v>
      </c>
      <c r="K8" s="2" t="s">
        <v>21</v>
      </c>
      <c r="L8" s="2" t="s">
        <v>23</v>
      </c>
      <c r="M8" s="2"/>
      <c r="N8" s="2"/>
      <c r="O8" s="19"/>
      <c r="P8" s="2" t="s">
        <v>82</v>
      </c>
    </row>
    <row r="9" spans="2:16" ht="29" x14ac:dyDescent="0.35">
      <c r="B9" s="8" t="s">
        <v>55</v>
      </c>
      <c r="C9" s="8" t="s">
        <v>83</v>
      </c>
      <c r="D9" s="8" t="s">
        <v>92</v>
      </c>
      <c r="E9" s="8" t="s">
        <v>57</v>
      </c>
      <c r="F9" s="8" t="s">
        <v>51</v>
      </c>
      <c r="G9" s="8" t="s">
        <v>93</v>
      </c>
      <c r="H9" s="8" t="s">
        <v>90</v>
      </c>
      <c r="I9" s="9">
        <v>1</v>
      </c>
      <c r="J9" s="9" t="s">
        <v>94</v>
      </c>
      <c r="K9" s="8" t="s">
        <v>33</v>
      </c>
      <c r="L9" s="8" t="s">
        <v>41</v>
      </c>
      <c r="M9" s="8"/>
      <c r="N9" s="8"/>
      <c r="O9" s="8" t="s">
        <v>30</v>
      </c>
      <c r="P9" s="8" t="s">
        <v>95</v>
      </c>
    </row>
    <row r="10" spans="2:16" ht="29" x14ac:dyDescent="0.35">
      <c r="B10" s="8" t="s">
        <v>55</v>
      </c>
      <c r="C10" s="8" t="s">
        <v>83</v>
      </c>
      <c r="D10" s="8" t="s">
        <v>96</v>
      </c>
      <c r="E10" s="8" t="s">
        <v>57</v>
      </c>
      <c r="F10" s="8" t="s">
        <v>51</v>
      </c>
      <c r="G10" s="8" t="s">
        <v>97</v>
      </c>
      <c r="H10" s="8" t="s">
        <v>88</v>
      </c>
      <c r="I10" s="9">
        <v>1</v>
      </c>
      <c r="J10" s="9" t="s">
        <v>98</v>
      </c>
      <c r="K10" s="8" t="s">
        <v>35</v>
      </c>
      <c r="L10" s="8" t="s">
        <v>38</v>
      </c>
      <c r="M10" s="8" t="s">
        <v>40</v>
      </c>
      <c r="N10" s="8"/>
      <c r="O10" s="8" t="s">
        <v>32</v>
      </c>
      <c r="P10" s="8" t="s">
        <v>99</v>
      </c>
    </row>
    <row r="11" spans="2:16" ht="58" x14ac:dyDescent="0.35">
      <c r="B11" s="6" t="s">
        <v>55</v>
      </c>
      <c r="C11" s="6" t="s">
        <v>100</v>
      </c>
      <c r="D11" s="6" t="s">
        <v>101</v>
      </c>
      <c r="E11" s="6" t="s">
        <v>56</v>
      </c>
      <c r="F11" s="6" t="s">
        <v>81</v>
      </c>
      <c r="G11" s="6" t="s">
        <v>46</v>
      </c>
      <c r="H11" s="6"/>
      <c r="I11" s="7">
        <v>4</v>
      </c>
      <c r="J11" s="7" t="s">
        <v>102</v>
      </c>
      <c r="K11" s="6" t="s">
        <v>12</v>
      </c>
      <c r="L11" s="6" t="s">
        <v>31</v>
      </c>
      <c r="M11" s="6"/>
      <c r="N11" s="6"/>
      <c r="O11" s="6"/>
      <c r="P11" s="6" t="s">
        <v>87</v>
      </c>
    </row>
    <row r="12" spans="2:16" ht="87" x14ac:dyDescent="0.35">
      <c r="B12" s="2" t="s">
        <v>55</v>
      </c>
      <c r="C12" s="2" t="s">
        <v>100</v>
      </c>
      <c r="D12" s="2" t="s">
        <v>101</v>
      </c>
      <c r="E12" s="2" t="s">
        <v>57</v>
      </c>
      <c r="F12" s="2" t="s">
        <v>81</v>
      </c>
      <c r="G12" s="2" t="s">
        <v>46</v>
      </c>
      <c r="H12" s="2" t="s">
        <v>88</v>
      </c>
      <c r="I12" s="4">
        <v>5</v>
      </c>
      <c r="J12" s="4" t="s">
        <v>103</v>
      </c>
      <c r="K12" s="2" t="s">
        <v>14</v>
      </c>
      <c r="L12" s="2" t="s">
        <v>22</v>
      </c>
      <c r="M12" s="2"/>
      <c r="N12" s="2"/>
      <c r="O12" s="5" t="s">
        <v>24</v>
      </c>
      <c r="P12" s="2" t="s">
        <v>82</v>
      </c>
    </row>
    <row r="13" spans="2:16" ht="72.5" x14ac:dyDescent="0.35">
      <c r="B13" s="2" t="s">
        <v>55</v>
      </c>
      <c r="C13" s="2" t="s">
        <v>100</v>
      </c>
      <c r="D13" s="2" t="s">
        <v>101</v>
      </c>
      <c r="E13" s="2" t="s">
        <v>57</v>
      </c>
      <c r="F13" s="2" t="s">
        <v>81</v>
      </c>
      <c r="G13" s="2" t="s">
        <v>47</v>
      </c>
      <c r="H13" s="2" t="s">
        <v>88</v>
      </c>
      <c r="I13" s="4">
        <v>4</v>
      </c>
      <c r="J13" s="4" t="s">
        <v>104</v>
      </c>
      <c r="K13" s="2" t="s">
        <v>26</v>
      </c>
      <c r="L13" s="2" t="s">
        <v>20</v>
      </c>
      <c r="M13" s="2"/>
      <c r="N13" s="2"/>
      <c r="O13" s="5" t="s">
        <v>10</v>
      </c>
      <c r="P13" s="2" t="s">
        <v>82</v>
      </c>
    </row>
    <row r="14" spans="2:16" ht="29" x14ac:dyDescent="0.35">
      <c r="B14" s="8" t="s">
        <v>55</v>
      </c>
      <c r="C14" s="8" t="s">
        <v>100</v>
      </c>
      <c r="D14" s="8" t="s">
        <v>105</v>
      </c>
      <c r="E14" s="8" t="s">
        <v>57</v>
      </c>
      <c r="F14" s="8" t="s">
        <v>51</v>
      </c>
      <c r="G14" s="8" t="s">
        <v>106</v>
      </c>
      <c r="H14" s="8" t="s">
        <v>107</v>
      </c>
      <c r="I14" s="9">
        <v>1</v>
      </c>
      <c r="J14" s="9" t="s">
        <v>108</v>
      </c>
      <c r="K14" s="8" t="s">
        <v>35</v>
      </c>
      <c r="L14" s="8" t="s">
        <v>37</v>
      </c>
      <c r="M14" s="8" t="s">
        <v>38</v>
      </c>
      <c r="N14" s="8"/>
      <c r="O14" s="22"/>
      <c r="P14" s="8" t="s">
        <v>109</v>
      </c>
    </row>
    <row r="15" spans="2:16" ht="29" x14ac:dyDescent="0.35">
      <c r="B15" s="6" t="s">
        <v>55</v>
      </c>
      <c r="C15" s="6" t="s">
        <v>110</v>
      </c>
      <c r="D15" s="6" t="s">
        <v>111</v>
      </c>
      <c r="E15" s="6" t="s">
        <v>56</v>
      </c>
      <c r="F15" s="6" t="s">
        <v>81</v>
      </c>
      <c r="G15" s="6" t="s">
        <v>47</v>
      </c>
      <c r="H15" s="6" t="s">
        <v>86</v>
      </c>
      <c r="I15" s="7">
        <v>4</v>
      </c>
      <c r="J15" s="7" t="s">
        <v>112</v>
      </c>
      <c r="K15" s="6" t="s">
        <v>19</v>
      </c>
      <c r="L15" s="6" t="s">
        <v>39</v>
      </c>
      <c r="M15" s="6"/>
      <c r="N15" s="6"/>
      <c r="O15" s="6" t="s">
        <v>16</v>
      </c>
      <c r="P15" s="6" t="s">
        <v>113</v>
      </c>
    </row>
    <row r="16" spans="2:16" ht="87" x14ac:dyDescent="0.35">
      <c r="B16" s="2" t="s">
        <v>55</v>
      </c>
      <c r="C16" s="2" t="s">
        <v>110</v>
      </c>
      <c r="D16" s="2" t="s">
        <v>111</v>
      </c>
      <c r="E16" s="2" t="s">
        <v>57</v>
      </c>
      <c r="F16" s="2" t="s">
        <v>81</v>
      </c>
      <c r="G16" s="2" t="s">
        <v>46</v>
      </c>
      <c r="H16" s="2" t="s">
        <v>88</v>
      </c>
      <c r="I16" s="4">
        <v>5</v>
      </c>
      <c r="J16" s="4" t="s">
        <v>114</v>
      </c>
      <c r="K16" s="2" t="s">
        <v>10</v>
      </c>
      <c r="L16" s="2" t="s">
        <v>29</v>
      </c>
      <c r="M16" s="2"/>
      <c r="N16" s="2"/>
      <c r="O16" s="2" t="s">
        <v>15</v>
      </c>
      <c r="P16" s="2" t="s">
        <v>115</v>
      </c>
    </row>
    <row r="17" spans="2:16" ht="58" x14ac:dyDescent="0.35">
      <c r="B17" s="2" t="s">
        <v>55</v>
      </c>
      <c r="C17" s="2" t="s">
        <v>110</v>
      </c>
      <c r="D17" s="2" t="s">
        <v>111</v>
      </c>
      <c r="E17" s="2" t="s">
        <v>57</v>
      </c>
      <c r="F17" s="2" t="s">
        <v>81</v>
      </c>
      <c r="G17" s="2" t="s">
        <v>47</v>
      </c>
      <c r="H17" s="2" t="s">
        <v>116</v>
      </c>
      <c r="I17" s="4">
        <v>4</v>
      </c>
      <c r="J17" s="4" t="s">
        <v>117</v>
      </c>
      <c r="K17" s="2" t="s">
        <v>23</v>
      </c>
      <c r="L17" s="2" t="s">
        <v>28</v>
      </c>
      <c r="M17" s="2"/>
      <c r="N17" s="2"/>
      <c r="O17" s="2" t="s">
        <v>40</v>
      </c>
      <c r="P17" s="2" t="s">
        <v>82</v>
      </c>
    </row>
    <row r="18" spans="2:16" ht="87" x14ac:dyDescent="0.35">
      <c r="B18" s="13" t="s">
        <v>55</v>
      </c>
      <c r="C18" s="13" t="s">
        <v>110</v>
      </c>
      <c r="D18" s="13" t="s">
        <v>111</v>
      </c>
      <c r="E18" s="13" t="s">
        <v>57</v>
      </c>
      <c r="F18" s="13" t="s">
        <v>81</v>
      </c>
      <c r="G18" s="13" t="s">
        <v>118</v>
      </c>
      <c r="H18" s="13" t="s">
        <v>88</v>
      </c>
      <c r="I18" s="14">
        <v>1</v>
      </c>
      <c r="J18" s="24" t="s">
        <v>119</v>
      </c>
      <c r="K18" s="13" t="s">
        <v>33</v>
      </c>
      <c r="L18" s="13" t="s">
        <v>21</v>
      </c>
      <c r="M18" s="13"/>
      <c r="N18" s="13"/>
      <c r="O18" s="22"/>
      <c r="P18" s="13" t="s">
        <v>120</v>
      </c>
    </row>
    <row r="19" spans="2:16" ht="29" x14ac:dyDescent="0.35">
      <c r="B19" s="6" t="s">
        <v>55</v>
      </c>
      <c r="C19" s="6" t="s">
        <v>121</v>
      </c>
      <c r="D19" s="6" t="s">
        <v>122</v>
      </c>
      <c r="E19" s="6" t="s">
        <v>56</v>
      </c>
      <c r="F19" s="6" t="s">
        <v>81</v>
      </c>
      <c r="G19" s="6" t="s">
        <v>47</v>
      </c>
      <c r="H19" s="6" t="s">
        <v>123</v>
      </c>
      <c r="I19" s="7">
        <v>3</v>
      </c>
      <c r="J19" s="7" t="s">
        <v>124</v>
      </c>
      <c r="K19" s="6" t="s">
        <v>16</v>
      </c>
      <c r="L19" s="6" t="s">
        <v>18</v>
      </c>
      <c r="M19" s="6" t="s">
        <v>43</v>
      </c>
      <c r="N19" s="6"/>
      <c r="O19" s="6" t="s">
        <v>12</v>
      </c>
      <c r="P19" s="6" t="s">
        <v>87</v>
      </c>
    </row>
    <row r="20" spans="2:16" ht="72.5" x14ac:dyDescent="0.35">
      <c r="B20" s="2" t="s">
        <v>55</v>
      </c>
      <c r="C20" s="2" t="s">
        <v>121</v>
      </c>
      <c r="D20" s="2" t="s">
        <v>122</v>
      </c>
      <c r="E20" s="2" t="s">
        <v>57</v>
      </c>
      <c r="F20" s="2" t="s">
        <v>81</v>
      </c>
      <c r="G20" s="2" t="s">
        <v>46</v>
      </c>
      <c r="H20" s="2" t="s">
        <v>88</v>
      </c>
      <c r="I20" s="4">
        <v>4</v>
      </c>
      <c r="J20" s="4" t="s">
        <v>125</v>
      </c>
      <c r="K20" s="2" t="s">
        <v>41</v>
      </c>
      <c r="L20" s="2" t="s">
        <v>26</v>
      </c>
      <c r="M20" s="2"/>
      <c r="N20" s="2"/>
      <c r="O20" s="5" t="s">
        <v>14</v>
      </c>
      <c r="P20" s="2" t="s">
        <v>82</v>
      </c>
    </row>
    <row r="21" spans="2:16" ht="43.5" x14ac:dyDescent="0.35">
      <c r="B21" s="2" t="s">
        <v>55</v>
      </c>
      <c r="C21" s="2" t="s">
        <v>121</v>
      </c>
      <c r="D21" s="2" t="s">
        <v>122</v>
      </c>
      <c r="E21" s="2" t="s">
        <v>57</v>
      </c>
      <c r="F21" s="2" t="s">
        <v>81</v>
      </c>
      <c r="G21" s="2" t="s">
        <v>47</v>
      </c>
      <c r="H21" s="2" t="s">
        <v>126</v>
      </c>
      <c r="I21" s="4">
        <v>3</v>
      </c>
      <c r="J21" s="4" t="s">
        <v>127</v>
      </c>
      <c r="K21" s="2" t="s">
        <v>32</v>
      </c>
      <c r="L21" s="2" t="s">
        <v>24</v>
      </c>
      <c r="M21" s="2"/>
      <c r="N21" s="2"/>
      <c r="O21" s="5" t="s">
        <v>30</v>
      </c>
      <c r="P21" s="2" t="s">
        <v>82</v>
      </c>
    </row>
    <row r="22" spans="2:16" ht="29" x14ac:dyDescent="0.35">
      <c r="B22" s="8" t="s">
        <v>55</v>
      </c>
      <c r="C22" s="8" t="s">
        <v>121</v>
      </c>
      <c r="D22" s="8" t="s">
        <v>128</v>
      </c>
      <c r="E22" s="8" t="s">
        <v>57</v>
      </c>
      <c r="F22" s="8" t="s">
        <v>53</v>
      </c>
      <c r="G22" s="8" t="s">
        <v>93</v>
      </c>
      <c r="H22" s="8" t="s">
        <v>129</v>
      </c>
      <c r="I22" s="9">
        <v>1</v>
      </c>
      <c r="J22" t="s">
        <v>130</v>
      </c>
      <c r="K22" s="8" t="s">
        <v>35</v>
      </c>
      <c r="L22" s="8" t="s">
        <v>15</v>
      </c>
      <c r="M22" s="8" t="s">
        <v>40</v>
      </c>
      <c r="N22" s="8"/>
      <c r="O22" s="22"/>
      <c r="P22" s="8" t="s">
        <v>131</v>
      </c>
    </row>
    <row r="23" spans="2:16" ht="87" x14ac:dyDescent="0.35">
      <c r="B23" s="13" t="s">
        <v>55</v>
      </c>
      <c r="C23" s="13" t="s">
        <v>121</v>
      </c>
      <c r="D23" s="13" t="s">
        <v>132</v>
      </c>
      <c r="E23" s="13" t="s">
        <v>57</v>
      </c>
      <c r="F23" s="13" t="s">
        <v>81</v>
      </c>
      <c r="G23" s="13" t="s">
        <v>133</v>
      </c>
      <c r="H23" s="13" t="s">
        <v>88</v>
      </c>
      <c r="I23" s="14">
        <v>1</v>
      </c>
      <c r="J23" s="14" t="s">
        <v>134</v>
      </c>
      <c r="K23" s="13" t="s">
        <v>22</v>
      </c>
      <c r="L23" s="13" t="s">
        <v>20</v>
      </c>
      <c r="M23" s="13"/>
      <c r="N23" s="13"/>
      <c r="O23" s="21"/>
      <c r="P23" s="13" t="s">
        <v>135</v>
      </c>
    </row>
    <row r="24" spans="2:16" ht="29" x14ac:dyDescent="0.35">
      <c r="B24" s="2" t="s">
        <v>55</v>
      </c>
      <c r="C24" s="2" t="s">
        <v>121</v>
      </c>
      <c r="D24" s="2" t="s">
        <v>136</v>
      </c>
      <c r="E24" s="2" t="s">
        <v>57</v>
      </c>
      <c r="F24" s="2" t="s">
        <v>81</v>
      </c>
      <c r="G24" s="2" t="s">
        <v>46</v>
      </c>
      <c r="H24" s="2" t="s">
        <v>88</v>
      </c>
      <c r="I24" s="4">
        <v>1</v>
      </c>
      <c r="J24" s="4" t="s">
        <v>137</v>
      </c>
      <c r="K24" s="2" t="s">
        <v>20</v>
      </c>
      <c r="L24" s="2" t="s">
        <v>17</v>
      </c>
      <c r="M24" s="2"/>
      <c r="N24" s="2"/>
      <c r="O24" s="21"/>
      <c r="P24" s="13"/>
    </row>
  </sheetData>
  <autoFilter ref="B2:P24" xr:uid="{9A30D493-7048-4E90-AB27-8E97DAEE548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97E29-CF96-47EB-85CC-322119F8AA77}">
  <dimension ref="B2:P19"/>
  <sheetViews>
    <sheetView showGridLines="0" workbookViewId="0">
      <selection activeCell="L14" sqref="L14"/>
    </sheetView>
  </sheetViews>
  <sheetFormatPr baseColWidth="10" defaultColWidth="9" defaultRowHeight="14.5" x14ac:dyDescent="0.35"/>
  <cols>
    <col min="7" max="8" width="13.26953125" customWidth="1"/>
    <col min="16" max="16" width="13.453125" customWidth="1"/>
  </cols>
  <sheetData>
    <row r="2" spans="2:16" ht="43.5" x14ac:dyDescent="0.35">
      <c r="B2" s="1" t="s">
        <v>44</v>
      </c>
      <c r="C2" s="1" t="s">
        <v>66</v>
      </c>
      <c r="D2" s="1" t="s">
        <v>67</v>
      </c>
      <c r="E2" s="1" t="s">
        <v>45</v>
      </c>
      <c r="F2" s="1" t="s">
        <v>68</v>
      </c>
      <c r="G2" s="1" t="s">
        <v>69</v>
      </c>
      <c r="H2" s="1" t="s">
        <v>138</v>
      </c>
      <c r="I2" s="3" t="s">
        <v>71</v>
      </c>
      <c r="J2" s="3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</row>
    <row r="3" spans="2:16" ht="29" x14ac:dyDescent="0.35">
      <c r="B3" s="6" t="s">
        <v>58</v>
      </c>
      <c r="C3" s="6" t="s">
        <v>139</v>
      </c>
      <c r="D3" s="6" t="s">
        <v>140</v>
      </c>
      <c r="E3" s="6" t="s">
        <v>56</v>
      </c>
      <c r="F3" s="6" t="s">
        <v>81</v>
      </c>
      <c r="G3" s="6" t="s">
        <v>85</v>
      </c>
      <c r="H3" s="6"/>
      <c r="I3" s="7">
        <v>0</v>
      </c>
      <c r="J3" s="7"/>
      <c r="K3" s="6" t="s">
        <v>141</v>
      </c>
      <c r="L3" s="6" t="s">
        <v>141</v>
      </c>
      <c r="M3" s="6"/>
      <c r="N3" s="6"/>
      <c r="O3" s="6"/>
      <c r="P3" s="6" t="s">
        <v>142</v>
      </c>
    </row>
    <row r="4" spans="2:16" ht="72.5" x14ac:dyDescent="0.35">
      <c r="B4" s="6" t="s">
        <v>58</v>
      </c>
      <c r="C4" s="6" t="s">
        <v>139</v>
      </c>
      <c r="D4" s="10" t="s">
        <v>143</v>
      </c>
      <c r="E4" s="6" t="s">
        <v>56</v>
      </c>
      <c r="F4" s="6" t="s">
        <v>144</v>
      </c>
      <c r="G4" s="6" t="s">
        <v>46</v>
      </c>
      <c r="H4" s="6" t="s">
        <v>86</v>
      </c>
      <c r="I4" s="7">
        <v>2</v>
      </c>
      <c r="J4" s="7" t="s">
        <v>145</v>
      </c>
      <c r="K4" s="6" t="s">
        <v>31</v>
      </c>
      <c r="L4" s="6" t="s">
        <v>16</v>
      </c>
      <c r="M4" s="6"/>
      <c r="N4" s="6"/>
      <c r="O4" s="6" t="s">
        <v>12</v>
      </c>
      <c r="P4" s="6" t="s">
        <v>146</v>
      </c>
    </row>
    <row r="5" spans="2:16" ht="203" x14ac:dyDescent="0.35">
      <c r="B5" s="2" t="s">
        <v>58</v>
      </c>
      <c r="C5" s="2" t="s">
        <v>139</v>
      </c>
      <c r="D5" s="2" t="s">
        <v>147</v>
      </c>
      <c r="E5" s="2" t="s">
        <v>57</v>
      </c>
      <c r="F5" s="2" t="s">
        <v>81</v>
      </c>
      <c r="G5" s="2" t="s">
        <v>46</v>
      </c>
      <c r="H5" s="2" t="s">
        <v>88</v>
      </c>
      <c r="I5" s="4">
        <v>5</v>
      </c>
      <c r="J5" s="4" t="s">
        <v>148</v>
      </c>
      <c r="K5" s="2" t="s">
        <v>21</v>
      </c>
      <c r="L5" s="2" t="s">
        <v>41</v>
      </c>
      <c r="M5" s="2"/>
      <c r="N5" s="2"/>
      <c r="O5" s="17" t="s">
        <v>14</v>
      </c>
      <c r="P5" s="2" t="s">
        <v>82</v>
      </c>
    </row>
    <row r="6" spans="2:16" ht="101.5" x14ac:dyDescent="0.35">
      <c r="B6" s="2" t="s">
        <v>58</v>
      </c>
      <c r="C6" s="2" t="s">
        <v>139</v>
      </c>
      <c r="D6" s="2" t="s">
        <v>147</v>
      </c>
      <c r="E6" s="2" t="s">
        <v>57</v>
      </c>
      <c r="F6" s="2" t="s">
        <v>81</v>
      </c>
      <c r="G6" s="2" t="s">
        <v>47</v>
      </c>
      <c r="H6" s="2" t="s">
        <v>149</v>
      </c>
      <c r="I6" s="4">
        <v>4</v>
      </c>
      <c r="J6" s="4" t="s">
        <v>150</v>
      </c>
      <c r="K6" s="2" t="s">
        <v>17</v>
      </c>
      <c r="L6" s="2" t="s">
        <v>37</v>
      </c>
      <c r="M6" s="2" t="s">
        <v>42</v>
      </c>
      <c r="N6" s="2"/>
      <c r="O6" s="17" t="s">
        <v>15</v>
      </c>
      <c r="P6" s="2" t="s">
        <v>82</v>
      </c>
    </row>
    <row r="7" spans="2:16" ht="29" x14ac:dyDescent="0.35">
      <c r="B7" s="8" t="s">
        <v>58</v>
      </c>
      <c r="C7" s="8" t="s">
        <v>139</v>
      </c>
      <c r="D7" s="8" t="s">
        <v>140</v>
      </c>
      <c r="E7" s="8" t="s">
        <v>57</v>
      </c>
      <c r="F7" s="8" t="s">
        <v>53</v>
      </c>
      <c r="G7" s="8" t="s">
        <v>97</v>
      </c>
      <c r="H7" s="8" t="s">
        <v>86</v>
      </c>
      <c r="I7" s="9">
        <v>1</v>
      </c>
      <c r="J7" s="9" t="s">
        <v>151</v>
      </c>
      <c r="K7" s="8" t="s">
        <v>33</v>
      </c>
      <c r="L7" s="8" t="s">
        <v>27</v>
      </c>
      <c r="M7" s="8" t="s">
        <v>36</v>
      </c>
      <c r="N7" s="8"/>
      <c r="O7" s="11"/>
      <c r="P7" s="8" t="s">
        <v>152</v>
      </c>
    </row>
    <row r="8" spans="2:16" ht="58" x14ac:dyDescent="0.35">
      <c r="B8" s="6" t="s">
        <v>58</v>
      </c>
      <c r="C8" s="6" t="s">
        <v>153</v>
      </c>
      <c r="D8" s="6" t="s">
        <v>154</v>
      </c>
      <c r="E8" s="6" t="s">
        <v>56</v>
      </c>
      <c r="F8" s="6" t="s">
        <v>81</v>
      </c>
      <c r="G8" s="6" t="s">
        <v>46</v>
      </c>
      <c r="H8" s="6" t="s">
        <v>86</v>
      </c>
      <c r="I8" s="7">
        <v>2</v>
      </c>
      <c r="J8" s="7" t="s">
        <v>155</v>
      </c>
      <c r="K8" s="6" t="s">
        <v>31</v>
      </c>
      <c r="L8" s="6" t="s">
        <v>19</v>
      </c>
      <c r="M8" s="6"/>
      <c r="N8" s="6"/>
      <c r="O8" s="6" t="s">
        <v>39</v>
      </c>
      <c r="P8" s="6" t="s">
        <v>87</v>
      </c>
    </row>
    <row r="9" spans="2:16" ht="87" x14ac:dyDescent="0.35">
      <c r="B9" s="2" t="s">
        <v>58</v>
      </c>
      <c r="C9" s="2" t="s">
        <v>153</v>
      </c>
      <c r="D9" s="2" t="s">
        <v>154</v>
      </c>
      <c r="E9" s="2" t="s">
        <v>57</v>
      </c>
      <c r="F9" s="2" t="s">
        <v>156</v>
      </c>
      <c r="G9" s="2" t="s">
        <v>46</v>
      </c>
      <c r="H9" s="2" t="s">
        <v>107</v>
      </c>
      <c r="I9" s="4">
        <v>2</v>
      </c>
      <c r="J9" s="4" t="s">
        <v>157</v>
      </c>
      <c r="K9" s="2" t="s">
        <v>28</v>
      </c>
      <c r="L9" s="2" t="s">
        <v>23</v>
      </c>
      <c r="M9" s="2" t="s">
        <v>32</v>
      </c>
      <c r="N9" s="2"/>
      <c r="O9" s="11"/>
      <c r="P9" s="2" t="s">
        <v>158</v>
      </c>
    </row>
    <row r="10" spans="2:16" ht="58" x14ac:dyDescent="0.35">
      <c r="B10" s="2" t="s">
        <v>58</v>
      </c>
      <c r="C10" s="2" t="s">
        <v>153</v>
      </c>
      <c r="D10" s="2" t="s">
        <v>154</v>
      </c>
      <c r="E10" s="2" t="s">
        <v>57</v>
      </c>
      <c r="F10" s="2" t="s">
        <v>156</v>
      </c>
      <c r="G10" s="2" t="s">
        <v>47</v>
      </c>
      <c r="H10" s="2" t="s">
        <v>107</v>
      </c>
      <c r="I10" s="4">
        <v>2</v>
      </c>
      <c r="J10" s="4" t="s">
        <v>159</v>
      </c>
      <c r="K10" s="2" t="s">
        <v>28</v>
      </c>
      <c r="L10" s="2" t="s">
        <v>23</v>
      </c>
      <c r="M10" s="2" t="s">
        <v>32</v>
      </c>
      <c r="N10" s="2"/>
      <c r="O10" s="11"/>
      <c r="P10" s="2" t="s">
        <v>158</v>
      </c>
    </row>
    <row r="11" spans="2:16" ht="159.5" x14ac:dyDescent="0.35">
      <c r="B11" s="2" t="s">
        <v>58</v>
      </c>
      <c r="C11" s="2" t="s">
        <v>153</v>
      </c>
      <c r="D11" s="2" t="s">
        <v>154</v>
      </c>
      <c r="E11" s="2" t="s">
        <v>57</v>
      </c>
      <c r="F11" s="2" t="s">
        <v>81</v>
      </c>
      <c r="G11" s="2" t="s">
        <v>46</v>
      </c>
      <c r="H11" s="2" t="s">
        <v>88</v>
      </c>
      <c r="I11" s="4">
        <v>4</v>
      </c>
      <c r="J11" s="4" t="s">
        <v>160</v>
      </c>
      <c r="K11" s="2" t="s">
        <v>38</v>
      </c>
      <c r="L11" s="2" t="s">
        <v>40</v>
      </c>
      <c r="M11" s="2"/>
      <c r="N11" s="2"/>
      <c r="O11" s="5" t="s">
        <v>10</v>
      </c>
      <c r="P11" s="2" t="s">
        <v>161</v>
      </c>
    </row>
    <row r="12" spans="2:16" ht="188.5" x14ac:dyDescent="0.35">
      <c r="B12" s="2" t="s">
        <v>58</v>
      </c>
      <c r="C12" s="2" t="s">
        <v>153</v>
      </c>
      <c r="D12" s="2" t="s">
        <v>154</v>
      </c>
      <c r="E12" s="2" t="s">
        <v>57</v>
      </c>
      <c r="F12" s="2" t="s">
        <v>81</v>
      </c>
      <c r="G12" s="2" t="s">
        <v>46</v>
      </c>
      <c r="H12" s="2" t="s">
        <v>88</v>
      </c>
      <c r="I12" s="4">
        <v>4</v>
      </c>
      <c r="J12" s="4" t="s">
        <v>162</v>
      </c>
      <c r="K12" s="2" t="s">
        <v>20</v>
      </c>
      <c r="L12" s="2" t="s">
        <v>30</v>
      </c>
      <c r="M12" s="2"/>
      <c r="N12" s="2"/>
      <c r="O12" s="5" t="s">
        <v>24</v>
      </c>
      <c r="P12" s="2" t="s">
        <v>82</v>
      </c>
    </row>
    <row r="13" spans="2:16" ht="116" x14ac:dyDescent="0.35">
      <c r="B13" s="6" t="s">
        <v>58</v>
      </c>
      <c r="C13" s="6" t="s">
        <v>163</v>
      </c>
      <c r="D13" s="6" t="s">
        <v>164</v>
      </c>
      <c r="E13" s="6" t="s">
        <v>56</v>
      </c>
      <c r="F13" s="6" t="s">
        <v>81</v>
      </c>
      <c r="G13" s="6" t="s">
        <v>46</v>
      </c>
      <c r="H13" s="6" t="s">
        <v>86</v>
      </c>
      <c r="I13" s="7">
        <v>4</v>
      </c>
      <c r="J13" s="7" t="s">
        <v>165</v>
      </c>
      <c r="K13" s="6" t="s">
        <v>12</v>
      </c>
      <c r="L13" s="6" t="s">
        <v>39</v>
      </c>
      <c r="M13" s="33" t="s">
        <v>43</v>
      </c>
      <c r="N13" s="6"/>
      <c r="O13" s="6" t="s">
        <v>18</v>
      </c>
      <c r="P13" s="6" t="s">
        <v>87</v>
      </c>
    </row>
    <row r="14" spans="2:16" ht="101.5" x14ac:dyDescent="0.35">
      <c r="B14" s="2" t="s">
        <v>58</v>
      </c>
      <c r="C14" s="2" t="s">
        <v>163</v>
      </c>
      <c r="D14" s="2" t="s">
        <v>164</v>
      </c>
      <c r="E14" s="2" t="s">
        <v>57</v>
      </c>
      <c r="F14" s="2" t="s">
        <v>81</v>
      </c>
      <c r="G14" s="2" t="s">
        <v>46</v>
      </c>
      <c r="H14" s="2" t="s">
        <v>107</v>
      </c>
      <c r="I14" s="4">
        <v>4</v>
      </c>
      <c r="J14" s="4" t="s">
        <v>166</v>
      </c>
      <c r="K14" s="2" t="s">
        <v>36</v>
      </c>
      <c r="L14" s="2" t="s">
        <v>22</v>
      </c>
      <c r="M14" s="2"/>
      <c r="N14" s="2"/>
      <c r="O14" s="2" t="s">
        <v>25</v>
      </c>
      <c r="P14" s="2" t="s">
        <v>82</v>
      </c>
    </row>
    <row r="15" spans="2:16" ht="43.5" x14ac:dyDescent="0.35">
      <c r="B15" s="2" t="s">
        <v>58</v>
      </c>
      <c r="C15" s="2" t="s">
        <v>163</v>
      </c>
      <c r="D15" s="2" t="s">
        <v>164</v>
      </c>
      <c r="E15" s="2" t="s">
        <v>57</v>
      </c>
      <c r="F15" s="2" t="s">
        <v>81</v>
      </c>
      <c r="G15" s="2" t="s">
        <v>47</v>
      </c>
      <c r="H15" s="2" t="s">
        <v>129</v>
      </c>
      <c r="I15" s="4">
        <v>3</v>
      </c>
      <c r="J15" s="4" t="s">
        <v>167</v>
      </c>
      <c r="K15" s="2" t="s">
        <v>30</v>
      </c>
      <c r="L15" s="2" t="s">
        <v>37</v>
      </c>
      <c r="M15" s="2"/>
      <c r="N15" s="2"/>
      <c r="O15" s="2" t="s">
        <v>27</v>
      </c>
      <c r="P15" s="2" t="s">
        <v>82</v>
      </c>
    </row>
    <row r="16" spans="2:16" ht="29" x14ac:dyDescent="0.35">
      <c r="B16" s="6" t="s">
        <v>58</v>
      </c>
      <c r="C16" s="6" t="s">
        <v>168</v>
      </c>
      <c r="D16" s="6" t="s">
        <v>169</v>
      </c>
      <c r="E16" s="6" t="s">
        <v>56</v>
      </c>
      <c r="F16" s="6" t="s">
        <v>81</v>
      </c>
      <c r="G16" s="6" t="s">
        <v>85</v>
      </c>
      <c r="H16" s="6"/>
      <c r="I16" s="7">
        <v>0</v>
      </c>
      <c r="J16" s="7"/>
      <c r="K16" s="6" t="s">
        <v>141</v>
      </c>
      <c r="L16" s="6" t="s">
        <v>141</v>
      </c>
      <c r="M16" s="6"/>
      <c r="N16" s="6"/>
      <c r="O16" s="6"/>
      <c r="P16" s="6" t="s">
        <v>170</v>
      </c>
    </row>
    <row r="17" spans="2:16" ht="87" x14ac:dyDescent="0.35">
      <c r="B17" s="2" t="s">
        <v>58</v>
      </c>
      <c r="C17" s="2" t="s">
        <v>168</v>
      </c>
      <c r="D17" s="2" t="s">
        <v>171</v>
      </c>
      <c r="E17" s="2" t="s">
        <v>57</v>
      </c>
      <c r="F17" s="2" t="s">
        <v>81</v>
      </c>
      <c r="G17" s="2" t="s">
        <v>46</v>
      </c>
      <c r="H17" s="2" t="s">
        <v>107</v>
      </c>
      <c r="I17" s="4">
        <v>3</v>
      </c>
      <c r="J17" s="4" t="s">
        <v>172</v>
      </c>
      <c r="K17" s="2" t="s">
        <v>40</v>
      </c>
      <c r="L17" s="2" t="s">
        <v>25</v>
      </c>
      <c r="M17" s="2"/>
      <c r="N17" s="2"/>
      <c r="O17" s="5" t="s">
        <v>32</v>
      </c>
      <c r="P17" s="2" t="s">
        <v>173</v>
      </c>
    </row>
    <row r="18" spans="2:16" ht="87" x14ac:dyDescent="0.35">
      <c r="B18" s="2" t="s">
        <v>58</v>
      </c>
      <c r="C18" s="2" t="s">
        <v>168</v>
      </c>
      <c r="D18" s="2" t="s">
        <v>171</v>
      </c>
      <c r="E18" s="2" t="s">
        <v>57</v>
      </c>
      <c r="F18" s="2" t="s">
        <v>81</v>
      </c>
      <c r="G18" s="2" t="s">
        <v>46</v>
      </c>
      <c r="H18" s="2" t="s">
        <v>88</v>
      </c>
      <c r="I18" s="4">
        <v>3</v>
      </c>
      <c r="J18" s="4" t="s">
        <v>174</v>
      </c>
      <c r="K18" s="2" t="s">
        <v>24</v>
      </c>
      <c r="L18" s="2" t="s">
        <v>17</v>
      </c>
      <c r="M18" s="2"/>
      <c r="N18" s="2"/>
      <c r="O18" s="5" t="s">
        <v>38</v>
      </c>
      <c r="P18" s="2" t="s">
        <v>82</v>
      </c>
    </row>
    <row r="19" spans="2:16" ht="72.5" x14ac:dyDescent="0.35">
      <c r="B19" s="13" t="s">
        <v>58</v>
      </c>
      <c r="C19" s="13" t="s">
        <v>168</v>
      </c>
      <c r="D19" s="13" t="s">
        <v>171</v>
      </c>
      <c r="E19" s="13" t="s">
        <v>57</v>
      </c>
      <c r="F19" s="13" t="s">
        <v>81</v>
      </c>
      <c r="G19" s="13" t="s">
        <v>175</v>
      </c>
      <c r="H19" s="13" t="s">
        <v>176</v>
      </c>
      <c r="I19" s="14">
        <v>2</v>
      </c>
      <c r="J19" s="14" t="s">
        <v>177</v>
      </c>
      <c r="K19" s="13" t="s">
        <v>33</v>
      </c>
      <c r="L19" s="13" t="s">
        <v>29</v>
      </c>
      <c r="M19" s="13"/>
      <c r="N19" s="13"/>
      <c r="O19" s="20"/>
      <c r="P19" s="13" t="s">
        <v>178</v>
      </c>
    </row>
  </sheetData>
  <autoFilter ref="B2:P19" xr:uid="{C1C97E29-CF96-47EB-85CC-322119F8AA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C5AC-AD9B-4F51-947C-8D44B268D6E4}">
  <dimension ref="B2:P22"/>
  <sheetViews>
    <sheetView showGridLines="0" tabSelected="1" workbookViewId="0">
      <selection activeCell="J26" sqref="J26"/>
    </sheetView>
  </sheetViews>
  <sheetFormatPr baseColWidth="10" defaultColWidth="9" defaultRowHeight="14.5" x14ac:dyDescent="0.35"/>
  <sheetData>
    <row r="2" spans="2:16" ht="43.5" x14ac:dyDescent="0.35">
      <c r="B2" s="1" t="s">
        <v>44</v>
      </c>
      <c r="C2" s="1" t="s">
        <v>66</v>
      </c>
      <c r="D2" s="1" t="s">
        <v>67</v>
      </c>
      <c r="E2" s="1" t="s">
        <v>45</v>
      </c>
      <c r="F2" s="1" t="s">
        <v>68</v>
      </c>
      <c r="G2" s="1" t="s">
        <v>69</v>
      </c>
      <c r="H2" s="1" t="s">
        <v>138</v>
      </c>
      <c r="I2" s="3" t="s">
        <v>71</v>
      </c>
      <c r="J2" s="3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</row>
    <row r="3" spans="2:16" ht="29" x14ac:dyDescent="0.35">
      <c r="B3" s="6" t="s">
        <v>59</v>
      </c>
      <c r="C3" s="6" t="s">
        <v>179</v>
      </c>
      <c r="D3" s="6" t="s">
        <v>180</v>
      </c>
      <c r="E3" s="6" t="s">
        <v>56</v>
      </c>
      <c r="F3" s="6" t="s">
        <v>81</v>
      </c>
      <c r="G3" s="6" t="s">
        <v>85</v>
      </c>
      <c r="H3" s="6"/>
      <c r="I3" s="7">
        <v>0</v>
      </c>
      <c r="J3" s="7"/>
      <c r="K3" s="6" t="s">
        <v>141</v>
      </c>
      <c r="L3" s="6" t="s">
        <v>141</v>
      </c>
      <c r="M3" s="6"/>
      <c r="N3" s="6"/>
      <c r="O3" s="6" t="s">
        <v>12</v>
      </c>
      <c r="P3" s="6" t="s">
        <v>181</v>
      </c>
    </row>
    <row r="4" spans="2:16" ht="275.5" x14ac:dyDescent="0.35">
      <c r="B4" s="2" t="s">
        <v>59</v>
      </c>
      <c r="C4" s="2" t="s">
        <v>179</v>
      </c>
      <c r="D4" s="2" t="s">
        <v>180</v>
      </c>
      <c r="E4" s="2" t="s">
        <v>57</v>
      </c>
      <c r="F4" s="2" t="s">
        <v>81</v>
      </c>
      <c r="G4" s="2" t="s">
        <v>46</v>
      </c>
      <c r="H4" s="2" t="s">
        <v>88</v>
      </c>
      <c r="I4" s="4">
        <v>5</v>
      </c>
      <c r="J4" s="4" t="s">
        <v>182</v>
      </c>
      <c r="K4" s="2" t="s">
        <v>21</v>
      </c>
      <c r="L4" s="2" t="s">
        <v>20</v>
      </c>
      <c r="M4" s="2"/>
      <c r="N4" s="2"/>
      <c r="O4" s="2" t="s">
        <v>27</v>
      </c>
      <c r="P4" s="2" t="s">
        <v>183</v>
      </c>
    </row>
    <row r="5" spans="2:16" ht="319" x14ac:dyDescent="0.35">
      <c r="B5" s="2" t="s">
        <v>59</v>
      </c>
      <c r="C5" s="2" t="s">
        <v>179</v>
      </c>
      <c r="D5" s="2" t="s">
        <v>180</v>
      </c>
      <c r="E5" s="2" t="s">
        <v>57</v>
      </c>
      <c r="F5" s="2" t="s">
        <v>81</v>
      </c>
      <c r="G5" s="2" t="s">
        <v>46</v>
      </c>
      <c r="H5" s="2" t="s">
        <v>107</v>
      </c>
      <c r="I5" s="4">
        <v>5</v>
      </c>
      <c r="J5" s="4" t="s">
        <v>184</v>
      </c>
      <c r="K5" s="2" t="s">
        <v>14</v>
      </c>
      <c r="L5" s="2" t="s">
        <v>15</v>
      </c>
      <c r="M5" s="2"/>
      <c r="N5" s="2"/>
      <c r="O5" s="2" t="s">
        <v>30</v>
      </c>
      <c r="P5" s="2" t="s">
        <v>185</v>
      </c>
    </row>
    <row r="6" spans="2:16" ht="29" x14ac:dyDescent="0.35">
      <c r="B6" s="8" t="s">
        <v>59</v>
      </c>
      <c r="C6" s="8" t="s">
        <v>179</v>
      </c>
      <c r="D6" s="8" t="s">
        <v>186</v>
      </c>
      <c r="E6" s="8" t="s">
        <v>187</v>
      </c>
      <c r="F6" s="8" t="s">
        <v>52</v>
      </c>
      <c r="G6" s="8" t="s">
        <v>188</v>
      </c>
      <c r="H6" s="8" t="s">
        <v>189</v>
      </c>
      <c r="I6" s="9">
        <v>1</v>
      </c>
      <c r="J6" s="9"/>
      <c r="K6" s="8" t="s">
        <v>33</v>
      </c>
      <c r="L6" s="8" t="s">
        <v>41</v>
      </c>
      <c r="M6" s="8"/>
      <c r="N6" s="8"/>
      <c r="O6" s="11"/>
      <c r="P6" s="8" t="s">
        <v>158</v>
      </c>
    </row>
    <row r="7" spans="2:16" ht="29" x14ac:dyDescent="0.35">
      <c r="B7" s="8" t="s">
        <v>59</v>
      </c>
      <c r="C7" s="8" t="s">
        <v>179</v>
      </c>
      <c r="D7" s="8" t="s">
        <v>186</v>
      </c>
      <c r="E7" s="8" t="s">
        <v>187</v>
      </c>
      <c r="F7" s="8" t="s">
        <v>52</v>
      </c>
      <c r="G7" s="8" t="s">
        <v>190</v>
      </c>
      <c r="H7" s="8" t="s">
        <v>189</v>
      </c>
      <c r="I7" s="9">
        <v>1</v>
      </c>
      <c r="J7" s="9"/>
      <c r="K7" s="8" t="s">
        <v>35</v>
      </c>
      <c r="L7" s="8" t="s">
        <v>38</v>
      </c>
      <c r="M7" s="8"/>
      <c r="N7" s="8"/>
      <c r="O7" s="11"/>
      <c r="P7" s="8" t="s">
        <v>158</v>
      </c>
    </row>
    <row r="8" spans="2:16" ht="87" x14ac:dyDescent="0.35">
      <c r="B8" s="6" t="s">
        <v>59</v>
      </c>
      <c r="C8" s="6" t="s">
        <v>191</v>
      </c>
      <c r="D8" s="6" t="s">
        <v>192</v>
      </c>
      <c r="E8" s="6" t="s">
        <v>56</v>
      </c>
      <c r="F8" s="6" t="s">
        <v>81</v>
      </c>
      <c r="G8" s="6" t="s">
        <v>46</v>
      </c>
      <c r="H8" s="6" t="s">
        <v>86</v>
      </c>
      <c r="I8" s="7">
        <v>4</v>
      </c>
      <c r="J8" s="38" t="s">
        <v>193</v>
      </c>
      <c r="K8" s="6" t="s">
        <v>31</v>
      </c>
      <c r="L8" s="6" t="s">
        <v>12</v>
      </c>
      <c r="M8" s="6"/>
      <c r="N8" s="6"/>
      <c r="O8" s="6" t="s">
        <v>39</v>
      </c>
      <c r="P8" s="6" t="s">
        <v>87</v>
      </c>
    </row>
    <row r="9" spans="2:16" ht="58" x14ac:dyDescent="0.35">
      <c r="B9" s="13" t="s">
        <v>59</v>
      </c>
      <c r="C9" s="13" t="s">
        <v>191</v>
      </c>
      <c r="D9" s="13" t="s">
        <v>192</v>
      </c>
      <c r="E9" s="13" t="s">
        <v>57</v>
      </c>
      <c r="F9" s="13" t="s">
        <v>81</v>
      </c>
      <c r="G9" s="13" t="s">
        <v>194</v>
      </c>
      <c r="H9" s="13" t="s">
        <v>88</v>
      </c>
      <c r="I9" s="14">
        <v>1</v>
      </c>
      <c r="J9" s="14" t="s">
        <v>195</v>
      </c>
      <c r="K9" s="13" t="s">
        <v>28</v>
      </c>
      <c r="L9" s="13" t="s">
        <v>10</v>
      </c>
      <c r="M9" s="13" t="s">
        <v>20</v>
      </c>
      <c r="N9" s="13"/>
      <c r="O9" s="25" t="s">
        <v>29</v>
      </c>
      <c r="P9" s="13" t="s">
        <v>196</v>
      </c>
    </row>
    <row r="10" spans="2:16" ht="101.5" x14ac:dyDescent="0.35">
      <c r="B10" s="2" t="s">
        <v>59</v>
      </c>
      <c r="C10" s="2" t="s">
        <v>191</v>
      </c>
      <c r="D10" s="2" t="s">
        <v>192</v>
      </c>
      <c r="E10" s="2" t="s">
        <v>57</v>
      </c>
      <c r="F10" s="2" t="s">
        <v>81</v>
      </c>
      <c r="G10" s="2" t="s">
        <v>47</v>
      </c>
      <c r="H10" s="2" t="s">
        <v>107</v>
      </c>
      <c r="I10" s="4">
        <v>3</v>
      </c>
      <c r="J10" s="4" t="s">
        <v>197</v>
      </c>
      <c r="K10" s="2" t="s">
        <v>25</v>
      </c>
      <c r="L10" s="2" t="s">
        <v>36</v>
      </c>
      <c r="M10" s="2"/>
      <c r="N10" s="2"/>
      <c r="O10" s="5" t="s">
        <v>30</v>
      </c>
      <c r="P10" s="2" t="s">
        <v>82</v>
      </c>
    </row>
    <row r="11" spans="2:16" ht="101.5" x14ac:dyDescent="0.35">
      <c r="B11" s="13" t="s">
        <v>59</v>
      </c>
      <c r="C11" s="13" t="s">
        <v>191</v>
      </c>
      <c r="D11" s="13" t="s">
        <v>192</v>
      </c>
      <c r="E11" s="13" t="s">
        <v>57</v>
      </c>
      <c r="F11" s="13" t="s">
        <v>81</v>
      </c>
      <c r="G11" s="13" t="s">
        <v>198</v>
      </c>
      <c r="H11" s="13" t="s">
        <v>129</v>
      </c>
      <c r="I11" s="14">
        <v>1</v>
      </c>
      <c r="J11" s="14" t="s">
        <v>199</v>
      </c>
      <c r="K11" s="13" t="s">
        <v>26</v>
      </c>
      <c r="L11" s="13" t="s">
        <v>37</v>
      </c>
      <c r="M11" s="13"/>
      <c r="N11" s="13"/>
      <c r="O11" s="20"/>
      <c r="P11" s="13" t="s">
        <v>200</v>
      </c>
    </row>
    <row r="12" spans="2:16" ht="87" x14ac:dyDescent="0.35">
      <c r="B12" s="6" t="s">
        <v>59</v>
      </c>
      <c r="C12" s="6" t="s">
        <v>201</v>
      </c>
      <c r="D12" s="6" t="s">
        <v>202</v>
      </c>
      <c r="E12" s="6" t="s">
        <v>56</v>
      </c>
      <c r="F12" s="6" t="s">
        <v>81</v>
      </c>
      <c r="G12" s="6" t="s">
        <v>46</v>
      </c>
      <c r="H12" s="6" t="s">
        <v>86</v>
      </c>
      <c r="I12" s="7">
        <v>4</v>
      </c>
      <c r="J12" s="7" t="s">
        <v>203</v>
      </c>
      <c r="K12" s="6" t="s">
        <v>19</v>
      </c>
      <c r="L12" s="6" t="s">
        <v>16</v>
      </c>
      <c r="M12" s="6"/>
      <c r="N12" s="6"/>
      <c r="O12" s="6"/>
      <c r="P12" s="6" t="s">
        <v>87</v>
      </c>
    </row>
    <row r="13" spans="2:16" ht="29" x14ac:dyDescent="0.35">
      <c r="B13" s="2" t="s">
        <v>59</v>
      </c>
      <c r="C13" s="2" t="s">
        <v>201</v>
      </c>
      <c r="D13" s="2" t="s">
        <v>202</v>
      </c>
      <c r="E13" s="2" t="s">
        <v>57</v>
      </c>
      <c r="F13" s="2" t="s">
        <v>81</v>
      </c>
      <c r="G13" s="2" t="s">
        <v>47</v>
      </c>
      <c r="H13" s="2" t="s">
        <v>107</v>
      </c>
      <c r="I13" s="4">
        <v>2</v>
      </c>
      <c r="J13" s="4"/>
      <c r="K13" s="2" t="s">
        <v>17</v>
      </c>
      <c r="L13" s="2" t="s">
        <v>27</v>
      </c>
      <c r="M13" s="2"/>
      <c r="N13" s="2"/>
      <c r="O13" s="2" t="s">
        <v>32</v>
      </c>
      <c r="P13" s="2" t="s">
        <v>82</v>
      </c>
    </row>
    <row r="14" spans="2:16" ht="130.5" x14ac:dyDescent="0.35">
      <c r="B14" s="2" t="s">
        <v>59</v>
      </c>
      <c r="C14" s="2" t="s">
        <v>201</v>
      </c>
      <c r="D14" s="2" t="s">
        <v>202</v>
      </c>
      <c r="E14" s="2" t="s">
        <v>57</v>
      </c>
      <c r="F14" s="2" t="s">
        <v>81</v>
      </c>
      <c r="G14" s="2" t="s">
        <v>46</v>
      </c>
      <c r="H14" s="2" t="s">
        <v>107</v>
      </c>
      <c r="I14" s="4">
        <v>5</v>
      </c>
      <c r="J14" s="4" t="s">
        <v>204</v>
      </c>
      <c r="K14" s="2" t="s">
        <v>22</v>
      </c>
      <c r="L14" s="2" t="s">
        <v>24</v>
      </c>
      <c r="M14" s="2"/>
      <c r="N14" s="2"/>
      <c r="O14" s="2" t="s">
        <v>20</v>
      </c>
      <c r="P14" s="2" t="s">
        <v>82</v>
      </c>
    </row>
    <row r="15" spans="2:16" ht="145" x14ac:dyDescent="0.35">
      <c r="B15" s="6" t="s">
        <v>59</v>
      </c>
      <c r="C15" s="6" t="s">
        <v>205</v>
      </c>
      <c r="D15" s="6" t="s">
        <v>206</v>
      </c>
      <c r="E15" s="6" t="s">
        <v>56</v>
      </c>
      <c r="F15" s="6" t="s">
        <v>81</v>
      </c>
      <c r="G15" s="6" t="s">
        <v>47</v>
      </c>
      <c r="H15" s="6" t="s">
        <v>86</v>
      </c>
      <c r="I15" s="7">
        <v>4</v>
      </c>
      <c r="J15" s="7" t="s">
        <v>207</v>
      </c>
      <c r="K15" s="6" t="s">
        <v>18</v>
      </c>
      <c r="L15" s="6" t="s">
        <v>39</v>
      </c>
      <c r="M15" s="6"/>
      <c r="N15" s="6"/>
      <c r="O15" s="6" t="s">
        <v>12</v>
      </c>
      <c r="P15" s="6" t="s">
        <v>208</v>
      </c>
    </row>
    <row r="16" spans="2:16" ht="145" x14ac:dyDescent="0.35">
      <c r="B16" s="2" t="s">
        <v>59</v>
      </c>
      <c r="C16" s="2" t="s">
        <v>205</v>
      </c>
      <c r="D16" s="2" t="s">
        <v>206</v>
      </c>
      <c r="E16" s="2" t="s">
        <v>57</v>
      </c>
      <c r="F16" s="2" t="s">
        <v>81</v>
      </c>
      <c r="G16" s="2" t="s">
        <v>46</v>
      </c>
      <c r="H16" s="2" t="s">
        <v>107</v>
      </c>
      <c r="I16" s="4">
        <v>5</v>
      </c>
      <c r="J16" s="4" t="s">
        <v>209</v>
      </c>
      <c r="K16" s="2" t="s">
        <v>15</v>
      </c>
      <c r="L16" s="2" t="s">
        <v>40</v>
      </c>
      <c r="M16" s="2"/>
      <c r="N16" s="2"/>
      <c r="O16" s="21"/>
      <c r="P16" s="2" t="s">
        <v>82</v>
      </c>
    </row>
    <row r="17" spans="2:16" ht="116" x14ac:dyDescent="0.35">
      <c r="B17" s="2" t="s">
        <v>59</v>
      </c>
      <c r="C17" s="2" t="s">
        <v>205</v>
      </c>
      <c r="D17" s="2" t="s">
        <v>206</v>
      </c>
      <c r="E17" s="2" t="s">
        <v>57</v>
      </c>
      <c r="F17" s="2" t="s">
        <v>81</v>
      </c>
      <c r="G17" s="2" t="s">
        <v>46</v>
      </c>
      <c r="H17" s="2" t="s">
        <v>107</v>
      </c>
      <c r="I17" s="4">
        <v>5</v>
      </c>
      <c r="J17" s="4" t="s">
        <v>210</v>
      </c>
      <c r="K17" s="2" t="s">
        <v>30</v>
      </c>
      <c r="L17" s="2" t="s">
        <v>37</v>
      </c>
      <c r="M17" s="2"/>
      <c r="N17" s="2"/>
      <c r="O17" s="5" t="s">
        <v>29</v>
      </c>
      <c r="P17" s="2" t="s">
        <v>82</v>
      </c>
    </row>
    <row r="18" spans="2:16" ht="116" x14ac:dyDescent="0.35">
      <c r="B18" s="13" t="s">
        <v>59</v>
      </c>
      <c r="C18" s="13" t="s">
        <v>205</v>
      </c>
      <c r="D18" s="13" t="s">
        <v>206</v>
      </c>
      <c r="E18" s="13" t="s">
        <v>57</v>
      </c>
      <c r="F18" s="13" t="s">
        <v>81</v>
      </c>
      <c r="G18" s="13" t="s">
        <v>211</v>
      </c>
      <c r="H18" s="13" t="s">
        <v>86</v>
      </c>
      <c r="I18" s="14">
        <v>2</v>
      </c>
      <c r="J18" s="14" t="s">
        <v>212</v>
      </c>
      <c r="K18" s="13" t="s">
        <v>33</v>
      </c>
      <c r="L18" s="13" t="s">
        <v>35</v>
      </c>
      <c r="M18" s="13"/>
      <c r="N18" s="13"/>
      <c r="O18" s="5" t="s">
        <v>24</v>
      </c>
      <c r="P18" s="13" t="s">
        <v>213</v>
      </c>
    </row>
    <row r="19" spans="2:16" ht="130.5" x14ac:dyDescent="0.35">
      <c r="B19" s="6" t="s">
        <v>59</v>
      </c>
      <c r="C19" s="6" t="s">
        <v>214</v>
      </c>
      <c r="D19" s="6" t="s">
        <v>215</v>
      </c>
      <c r="E19" s="6" t="s">
        <v>56</v>
      </c>
      <c r="F19" s="6" t="s">
        <v>81</v>
      </c>
      <c r="G19" s="6" t="s">
        <v>47</v>
      </c>
      <c r="H19" s="6" t="s">
        <v>216</v>
      </c>
      <c r="I19" s="7">
        <v>4</v>
      </c>
      <c r="J19" s="7" t="s">
        <v>217</v>
      </c>
      <c r="K19" s="6" t="s">
        <v>16</v>
      </c>
      <c r="L19" s="6" t="s">
        <v>12</v>
      </c>
      <c r="M19" s="6"/>
      <c r="N19" s="6"/>
      <c r="O19" s="6" t="s">
        <v>18</v>
      </c>
      <c r="P19" s="6" t="s">
        <v>218</v>
      </c>
    </row>
    <row r="20" spans="2:16" ht="203" x14ac:dyDescent="0.35">
      <c r="B20" s="2" t="s">
        <v>59</v>
      </c>
      <c r="C20" s="2" t="s">
        <v>214</v>
      </c>
      <c r="D20" s="2" t="s">
        <v>215</v>
      </c>
      <c r="E20" s="2" t="s">
        <v>57</v>
      </c>
      <c r="F20" s="2" t="s">
        <v>81</v>
      </c>
      <c r="G20" s="2" t="s">
        <v>46</v>
      </c>
      <c r="H20" s="2" t="s">
        <v>107</v>
      </c>
      <c r="I20" s="4">
        <v>5</v>
      </c>
      <c r="J20" s="4" t="s">
        <v>219</v>
      </c>
      <c r="K20" s="2" t="s">
        <v>23</v>
      </c>
      <c r="L20" s="2" t="s">
        <v>21</v>
      </c>
      <c r="M20" s="2"/>
      <c r="N20" s="2"/>
      <c r="O20" s="2" t="s">
        <v>32</v>
      </c>
      <c r="P20" s="2" t="s">
        <v>220</v>
      </c>
    </row>
    <row r="21" spans="2:16" ht="43.5" x14ac:dyDescent="0.35">
      <c r="B21" s="2" t="s">
        <v>59</v>
      </c>
      <c r="C21" s="2" t="s">
        <v>214</v>
      </c>
      <c r="D21" s="2" t="s">
        <v>215</v>
      </c>
      <c r="E21" s="8" t="s">
        <v>57</v>
      </c>
      <c r="F21" s="8" t="s">
        <v>51</v>
      </c>
      <c r="G21" s="8" t="s">
        <v>221</v>
      </c>
      <c r="H21" s="8" t="s">
        <v>129</v>
      </c>
      <c r="I21" s="9">
        <v>1</v>
      </c>
      <c r="J21" s="9"/>
      <c r="K21" s="8" t="s">
        <v>35</v>
      </c>
      <c r="L21" s="8" t="s">
        <v>40</v>
      </c>
      <c r="M21" s="8" t="s">
        <v>36</v>
      </c>
      <c r="N21" s="8"/>
      <c r="O21" s="11"/>
      <c r="P21" s="8" t="s">
        <v>222</v>
      </c>
    </row>
    <row r="22" spans="2:16" ht="188.5" x14ac:dyDescent="0.35">
      <c r="B22" s="2" t="s">
        <v>59</v>
      </c>
      <c r="C22" s="2" t="s">
        <v>214</v>
      </c>
      <c r="D22" s="2" t="s">
        <v>215</v>
      </c>
      <c r="E22" s="2" t="s">
        <v>57</v>
      </c>
      <c r="F22" s="2" t="s">
        <v>81</v>
      </c>
      <c r="G22" s="2" t="s">
        <v>46</v>
      </c>
      <c r="H22" s="2" t="s">
        <v>107</v>
      </c>
      <c r="I22" s="4">
        <v>5</v>
      </c>
      <c r="J22" s="4" t="s">
        <v>223</v>
      </c>
      <c r="K22" s="2" t="s">
        <v>10</v>
      </c>
      <c r="L22" s="2" t="s">
        <v>27</v>
      </c>
      <c r="M22" s="2"/>
      <c r="N22" s="2"/>
      <c r="O22" s="2" t="s">
        <v>25</v>
      </c>
      <c r="P22" s="2" t="s">
        <v>220</v>
      </c>
    </row>
  </sheetData>
  <autoFilter ref="B2:P22" xr:uid="{762FC5AC-AD9B-4F51-947C-8D44B268D6E4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D06A-A4B3-4AB9-A22F-9E0AEE342A59}">
  <dimension ref="B5:P23"/>
  <sheetViews>
    <sheetView showGridLines="0" zoomScale="90" zoomScaleNormal="90" workbookViewId="0">
      <selection activeCell="N22" sqref="N22"/>
    </sheetView>
  </sheetViews>
  <sheetFormatPr baseColWidth="10" defaultColWidth="9" defaultRowHeight="14.5" x14ac:dyDescent="0.35"/>
  <cols>
    <col min="6" max="6" width="14.26953125" customWidth="1"/>
    <col min="7" max="7" width="20.453125" customWidth="1"/>
    <col min="8" max="8" width="9.54296875" customWidth="1"/>
    <col min="11" max="11" width="11.81640625" customWidth="1"/>
    <col min="13" max="13" width="13.81640625" customWidth="1"/>
  </cols>
  <sheetData>
    <row r="5" spans="2:16" ht="43.5" x14ac:dyDescent="0.35">
      <c r="B5" s="1" t="s">
        <v>44</v>
      </c>
      <c r="C5" s="1" t="s">
        <v>66</v>
      </c>
      <c r="D5" s="1" t="s">
        <v>67</v>
      </c>
      <c r="E5" s="1" t="s">
        <v>45</v>
      </c>
      <c r="F5" s="1" t="s">
        <v>68</v>
      </c>
      <c r="G5" s="1" t="s">
        <v>69</v>
      </c>
      <c r="H5" s="1" t="s">
        <v>138</v>
      </c>
      <c r="I5" s="3" t="s">
        <v>71</v>
      </c>
      <c r="J5" s="3" t="s">
        <v>72</v>
      </c>
      <c r="K5" s="1" t="s">
        <v>73</v>
      </c>
      <c r="L5" s="1" t="s">
        <v>74</v>
      </c>
      <c r="M5" s="1" t="s">
        <v>75</v>
      </c>
      <c r="N5" s="1" t="s">
        <v>76</v>
      </c>
      <c r="O5" s="1" t="s">
        <v>77</v>
      </c>
      <c r="P5" s="1" t="s">
        <v>78</v>
      </c>
    </row>
    <row r="6" spans="2:16" ht="58" x14ac:dyDescent="0.35">
      <c r="B6" s="6" t="s">
        <v>60</v>
      </c>
      <c r="C6" s="6" t="s">
        <v>224</v>
      </c>
      <c r="D6" s="6" t="s">
        <v>225</v>
      </c>
      <c r="E6" s="6" t="s">
        <v>56</v>
      </c>
      <c r="F6" s="6" t="s">
        <v>81</v>
      </c>
      <c r="G6" s="6" t="s">
        <v>85</v>
      </c>
      <c r="H6" s="6"/>
      <c r="I6" s="7">
        <v>0</v>
      </c>
      <c r="J6" s="7"/>
      <c r="K6" s="6"/>
      <c r="L6" s="6"/>
      <c r="M6" s="6"/>
      <c r="N6" s="6"/>
      <c r="O6" s="6"/>
      <c r="P6" s="6" t="s">
        <v>226</v>
      </c>
    </row>
    <row r="7" spans="2:16" ht="174" x14ac:dyDescent="0.35">
      <c r="B7" s="2" t="s">
        <v>60</v>
      </c>
      <c r="C7" s="2" t="s">
        <v>224</v>
      </c>
      <c r="D7" s="2" t="s">
        <v>225</v>
      </c>
      <c r="E7" s="2" t="s">
        <v>57</v>
      </c>
      <c r="F7" s="2" t="s">
        <v>81</v>
      </c>
      <c r="G7" s="2" t="s">
        <v>46</v>
      </c>
      <c r="H7" s="2" t="s">
        <v>107</v>
      </c>
      <c r="I7" s="4">
        <v>5</v>
      </c>
      <c r="J7" s="4" t="s">
        <v>227</v>
      </c>
      <c r="K7" s="2" t="s">
        <v>15</v>
      </c>
      <c r="L7" s="2" t="s">
        <v>26</v>
      </c>
      <c r="M7" s="2"/>
      <c r="N7" s="2"/>
      <c r="O7" s="5" t="s">
        <v>32</v>
      </c>
      <c r="P7" s="2" t="s">
        <v>82</v>
      </c>
    </row>
    <row r="8" spans="2:16" ht="232" x14ac:dyDescent="0.35">
      <c r="B8" s="2" t="s">
        <v>60</v>
      </c>
      <c r="C8" s="2" t="s">
        <v>224</v>
      </c>
      <c r="D8" s="2" t="s">
        <v>225</v>
      </c>
      <c r="E8" s="2" t="s">
        <v>57</v>
      </c>
      <c r="F8" s="2" t="s">
        <v>81</v>
      </c>
      <c r="G8" s="2" t="s">
        <v>46</v>
      </c>
      <c r="H8" s="2" t="s">
        <v>107</v>
      </c>
      <c r="I8" s="4">
        <v>5</v>
      </c>
      <c r="J8" s="4" t="s">
        <v>228</v>
      </c>
      <c r="K8" s="2" t="s">
        <v>14</v>
      </c>
      <c r="L8" s="2" t="s">
        <v>29</v>
      </c>
      <c r="M8" s="2"/>
      <c r="N8" s="2"/>
      <c r="O8" s="5" t="s">
        <v>22</v>
      </c>
      <c r="P8" s="2" t="s">
        <v>82</v>
      </c>
    </row>
    <row r="9" spans="2:16" ht="43.5" x14ac:dyDescent="0.35">
      <c r="B9" s="8" t="s">
        <v>60</v>
      </c>
      <c r="C9" s="8" t="s">
        <v>224</v>
      </c>
      <c r="D9" s="8" t="s">
        <v>229</v>
      </c>
      <c r="E9" s="8" t="s">
        <v>57</v>
      </c>
      <c r="F9" s="8" t="s">
        <v>51</v>
      </c>
      <c r="G9" s="8" t="s">
        <v>221</v>
      </c>
      <c r="H9" s="8" t="s">
        <v>129</v>
      </c>
      <c r="I9" s="9">
        <v>1</v>
      </c>
      <c r="J9" s="9"/>
      <c r="K9" s="8" t="s">
        <v>35</v>
      </c>
      <c r="L9" s="8" t="s">
        <v>40</v>
      </c>
      <c r="M9" s="8" t="s">
        <v>36</v>
      </c>
      <c r="N9" s="8"/>
      <c r="O9" s="11"/>
      <c r="P9" s="8" t="s">
        <v>222</v>
      </c>
    </row>
    <row r="10" spans="2:16" ht="188.5" x14ac:dyDescent="0.35">
      <c r="B10" s="8"/>
      <c r="C10" s="8"/>
      <c r="D10" s="8"/>
      <c r="E10" s="2" t="s">
        <v>57</v>
      </c>
      <c r="F10" s="2" t="s">
        <v>81</v>
      </c>
      <c r="G10" s="2" t="s">
        <v>46</v>
      </c>
      <c r="H10" s="2" t="s">
        <v>107</v>
      </c>
      <c r="I10" s="4">
        <v>5</v>
      </c>
      <c r="J10" s="4" t="s">
        <v>223</v>
      </c>
      <c r="K10" s="2" t="s">
        <v>10</v>
      </c>
      <c r="L10" s="2" t="s">
        <v>27</v>
      </c>
      <c r="M10" s="2"/>
      <c r="N10" s="2"/>
      <c r="O10" s="2" t="s">
        <v>25</v>
      </c>
      <c r="P10" s="2" t="s">
        <v>220</v>
      </c>
    </row>
    <row r="11" spans="2:16" ht="58" x14ac:dyDescent="0.35">
      <c r="B11" s="8" t="s">
        <v>60</v>
      </c>
      <c r="C11" s="8" t="s">
        <v>224</v>
      </c>
      <c r="D11" s="8" t="s">
        <v>230</v>
      </c>
      <c r="E11" s="8" t="s">
        <v>57</v>
      </c>
      <c r="F11" s="8" t="s">
        <v>51</v>
      </c>
      <c r="G11" s="8" t="s">
        <v>231</v>
      </c>
      <c r="H11" s="8" t="s">
        <v>90</v>
      </c>
      <c r="I11" s="9">
        <v>1</v>
      </c>
      <c r="J11" s="9"/>
      <c r="K11" s="8" t="s">
        <v>33</v>
      </c>
      <c r="L11" s="8" t="s">
        <v>41</v>
      </c>
      <c r="M11" s="8"/>
      <c r="N11" s="8"/>
      <c r="O11" s="11"/>
      <c r="P11" s="8" t="s">
        <v>232</v>
      </c>
    </row>
    <row r="12" spans="2:16" ht="58" x14ac:dyDescent="0.35">
      <c r="B12" s="6" t="s">
        <v>60</v>
      </c>
      <c r="C12" s="6" t="s">
        <v>233</v>
      </c>
      <c r="D12" s="6" t="s">
        <v>234</v>
      </c>
      <c r="E12" s="6" t="s">
        <v>56</v>
      </c>
      <c r="F12" s="6" t="s">
        <v>81</v>
      </c>
      <c r="G12" s="6" t="s">
        <v>46</v>
      </c>
      <c r="H12" s="6" t="s">
        <v>86</v>
      </c>
      <c r="I12" s="7">
        <v>4</v>
      </c>
      <c r="J12" s="7" t="s">
        <v>235</v>
      </c>
      <c r="K12" s="6" t="s">
        <v>18</v>
      </c>
      <c r="L12" s="6" t="s">
        <v>39</v>
      </c>
      <c r="M12" s="6"/>
      <c r="N12" s="6"/>
      <c r="O12" s="6" t="s">
        <v>19</v>
      </c>
      <c r="P12" s="6" t="s">
        <v>236</v>
      </c>
    </row>
    <row r="13" spans="2:16" ht="217.5" x14ac:dyDescent="0.35">
      <c r="B13" s="2" t="s">
        <v>60</v>
      </c>
      <c r="C13" s="2" t="s">
        <v>233</v>
      </c>
      <c r="D13" s="2" t="s">
        <v>234</v>
      </c>
      <c r="E13" s="2" t="s">
        <v>57</v>
      </c>
      <c r="F13" s="2" t="s">
        <v>81</v>
      </c>
      <c r="G13" s="2" t="s">
        <v>46</v>
      </c>
      <c r="H13" s="2" t="s">
        <v>107</v>
      </c>
      <c r="I13" s="4">
        <v>5</v>
      </c>
      <c r="J13" s="4" t="s">
        <v>237</v>
      </c>
      <c r="K13" s="2" t="s">
        <v>28</v>
      </c>
      <c r="L13" s="2" t="s">
        <v>24</v>
      </c>
      <c r="M13" s="2"/>
      <c r="N13" s="2"/>
      <c r="O13" s="18" t="s">
        <v>23</v>
      </c>
      <c r="P13" s="2" t="s">
        <v>82</v>
      </c>
    </row>
    <row r="14" spans="2:16" ht="232" x14ac:dyDescent="0.35">
      <c r="B14" s="2" t="s">
        <v>60</v>
      </c>
      <c r="C14" s="2" t="s">
        <v>233</v>
      </c>
      <c r="D14" s="2" t="s">
        <v>234</v>
      </c>
      <c r="E14" s="2" t="s">
        <v>57</v>
      </c>
      <c r="F14" s="2" t="s">
        <v>81</v>
      </c>
      <c r="G14" s="2" t="s">
        <v>46</v>
      </c>
      <c r="H14" s="2" t="s">
        <v>107</v>
      </c>
      <c r="I14" s="4">
        <v>5</v>
      </c>
      <c r="J14" s="4" t="s">
        <v>238</v>
      </c>
      <c r="K14" s="2" t="s">
        <v>17</v>
      </c>
      <c r="L14" s="2" t="s">
        <v>10</v>
      </c>
      <c r="M14" s="2"/>
      <c r="N14" s="2"/>
      <c r="O14" s="18" t="s">
        <v>21</v>
      </c>
      <c r="P14" s="2" t="s">
        <v>82</v>
      </c>
    </row>
    <row r="15" spans="2:16" ht="116" x14ac:dyDescent="0.35">
      <c r="B15" s="6" t="s">
        <v>60</v>
      </c>
      <c r="C15" s="6" t="s">
        <v>239</v>
      </c>
      <c r="D15" s="6" t="s">
        <v>240</v>
      </c>
      <c r="E15" s="6" t="s">
        <v>56</v>
      </c>
      <c r="F15" s="6" t="s">
        <v>81</v>
      </c>
      <c r="G15" s="6" t="s">
        <v>46</v>
      </c>
      <c r="H15" s="6" t="s">
        <v>241</v>
      </c>
      <c r="I15" s="7">
        <v>4</v>
      </c>
      <c r="J15" s="7" t="s">
        <v>242</v>
      </c>
      <c r="K15" s="6" t="s">
        <v>12</v>
      </c>
      <c r="L15" s="6" t="s">
        <v>19</v>
      </c>
      <c r="M15" s="6"/>
      <c r="N15" s="6"/>
      <c r="O15" s="6" t="s">
        <v>16</v>
      </c>
      <c r="P15" s="6" t="s">
        <v>243</v>
      </c>
    </row>
    <row r="16" spans="2:16" ht="101.5" x14ac:dyDescent="0.35">
      <c r="B16" s="2" t="s">
        <v>60</v>
      </c>
      <c r="C16" s="2" t="s">
        <v>239</v>
      </c>
      <c r="D16" s="2" t="s">
        <v>240</v>
      </c>
      <c r="E16" s="2" t="s">
        <v>57</v>
      </c>
      <c r="F16" s="2" t="s">
        <v>81</v>
      </c>
      <c r="G16" s="2" t="s">
        <v>46</v>
      </c>
      <c r="H16" s="2" t="s">
        <v>107</v>
      </c>
      <c r="I16" s="4">
        <v>5</v>
      </c>
      <c r="J16" s="4" t="s">
        <v>244</v>
      </c>
      <c r="K16" s="2" t="s">
        <v>21</v>
      </c>
      <c r="L16" s="2" t="s">
        <v>25</v>
      </c>
      <c r="M16" s="2"/>
      <c r="N16" s="2"/>
      <c r="O16" s="5" t="s">
        <v>27</v>
      </c>
      <c r="P16" s="2" t="s">
        <v>82</v>
      </c>
    </row>
    <row r="17" spans="2:16" ht="145" x14ac:dyDescent="0.35">
      <c r="B17" s="2" t="s">
        <v>60</v>
      </c>
      <c r="C17" s="2" t="s">
        <v>239</v>
      </c>
      <c r="D17" s="2" t="s">
        <v>240</v>
      </c>
      <c r="E17" s="2" t="s">
        <v>57</v>
      </c>
      <c r="F17" s="2" t="s">
        <v>81</v>
      </c>
      <c r="G17" s="2" t="s">
        <v>46</v>
      </c>
      <c r="H17" s="2" t="s">
        <v>107</v>
      </c>
      <c r="I17" s="4">
        <v>5</v>
      </c>
      <c r="J17" s="4" t="s">
        <v>245</v>
      </c>
      <c r="K17" s="2" t="s">
        <v>23</v>
      </c>
      <c r="L17" s="2" t="s">
        <v>29</v>
      </c>
      <c r="M17" s="2"/>
      <c r="N17" s="2"/>
      <c r="O17" s="5" t="s">
        <v>30</v>
      </c>
      <c r="P17" s="2" t="s">
        <v>82</v>
      </c>
    </row>
    <row r="18" spans="2:16" ht="58" x14ac:dyDescent="0.35">
      <c r="B18" s="13" t="s">
        <v>60</v>
      </c>
      <c r="C18" s="13" t="s">
        <v>239</v>
      </c>
      <c r="D18" s="13" t="s">
        <v>240</v>
      </c>
      <c r="E18" s="13" t="s">
        <v>57</v>
      </c>
      <c r="F18" s="13" t="s">
        <v>81</v>
      </c>
      <c r="G18" s="13" t="s">
        <v>246</v>
      </c>
      <c r="H18" s="13" t="s">
        <v>88</v>
      </c>
      <c r="I18" s="14">
        <v>2</v>
      </c>
      <c r="J18" s="14" t="s">
        <v>247</v>
      </c>
      <c r="K18" s="13" t="s">
        <v>33</v>
      </c>
      <c r="L18" s="13" t="s">
        <v>36</v>
      </c>
      <c r="M18" s="13"/>
      <c r="N18" s="13"/>
      <c r="O18" s="20"/>
      <c r="P18" s="13" t="s">
        <v>248</v>
      </c>
    </row>
    <row r="19" spans="2:16" ht="101.5" x14ac:dyDescent="0.35">
      <c r="B19" s="6" t="s">
        <v>60</v>
      </c>
      <c r="C19" s="6" t="s">
        <v>249</v>
      </c>
      <c r="D19" s="6" t="s">
        <v>250</v>
      </c>
      <c r="E19" s="6" t="s">
        <v>56</v>
      </c>
      <c r="F19" s="6" t="s">
        <v>81</v>
      </c>
      <c r="G19" s="6" t="s">
        <v>47</v>
      </c>
      <c r="H19" s="6" t="s">
        <v>251</v>
      </c>
      <c r="I19" s="7">
        <v>2</v>
      </c>
      <c r="J19" s="7" t="s">
        <v>252</v>
      </c>
      <c r="K19" s="6" t="s">
        <v>16</v>
      </c>
      <c r="L19" s="6" t="s">
        <v>39</v>
      </c>
      <c r="M19" s="6"/>
      <c r="N19" s="6"/>
      <c r="O19" s="6" t="s">
        <v>18</v>
      </c>
      <c r="P19" s="6" t="s">
        <v>253</v>
      </c>
    </row>
    <row r="20" spans="2:16" ht="159.5" x14ac:dyDescent="0.35">
      <c r="B20" s="2" t="s">
        <v>60</v>
      </c>
      <c r="C20" s="2" t="s">
        <v>249</v>
      </c>
      <c r="D20" s="2" t="s">
        <v>250</v>
      </c>
      <c r="E20" s="2" t="s">
        <v>57</v>
      </c>
      <c r="F20" s="2" t="s">
        <v>81</v>
      </c>
      <c r="G20" s="2" t="s">
        <v>46</v>
      </c>
      <c r="H20" s="2" t="s">
        <v>107</v>
      </c>
      <c r="I20" s="4">
        <v>5</v>
      </c>
      <c r="J20" s="4" t="s">
        <v>254</v>
      </c>
      <c r="K20" s="2" t="s">
        <v>27</v>
      </c>
      <c r="L20" s="2" t="s">
        <v>38</v>
      </c>
      <c r="M20" s="2"/>
      <c r="N20" s="2"/>
      <c r="O20" s="11"/>
      <c r="P20" s="2" t="s">
        <v>82</v>
      </c>
    </row>
    <row r="21" spans="2:16" ht="246.5" x14ac:dyDescent="0.35">
      <c r="B21" s="2" t="s">
        <v>60</v>
      </c>
      <c r="C21" s="2" t="s">
        <v>249</v>
      </c>
      <c r="D21" s="2" t="s">
        <v>250</v>
      </c>
      <c r="E21" s="2" t="s">
        <v>57</v>
      </c>
      <c r="F21" s="2" t="s">
        <v>81</v>
      </c>
      <c r="G21" s="2" t="s">
        <v>46</v>
      </c>
      <c r="H21" s="2" t="s">
        <v>107</v>
      </c>
      <c r="I21" s="4">
        <v>5</v>
      </c>
      <c r="J21" s="4" t="s">
        <v>255</v>
      </c>
      <c r="K21" s="2" t="s">
        <v>30</v>
      </c>
      <c r="L21" s="2" t="s">
        <v>14</v>
      </c>
      <c r="M21" s="2"/>
      <c r="N21" s="2"/>
      <c r="O21" s="11"/>
      <c r="P21" s="2" t="s">
        <v>256</v>
      </c>
    </row>
    <row r="22" spans="2:16" ht="43.5" x14ac:dyDescent="0.35">
      <c r="B22" s="13" t="s">
        <v>60</v>
      </c>
      <c r="C22" s="13" t="s">
        <v>249</v>
      </c>
      <c r="D22" s="13" t="s">
        <v>250</v>
      </c>
      <c r="E22" s="13" t="s">
        <v>57</v>
      </c>
      <c r="F22" s="13" t="s">
        <v>81</v>
      </c>
      <c r="G22" s="13" t="s">
        <v>257</v>
      </c>
      <c r="H22" s="13" t="s">
        <v>258</v>
      </c>
      <c r="I22" s="14">
        <v>2</v>
      </c>
      <c r="J22" s="15" t="s">
        <v>259</v>
      </c>
      <c r="K22" s="13" t="s">
        <v>15</v>
      </c>
      <c r="L22" s="13" t="s">
        <v>17</v>
      </c>
      <c r="M22" s="13"/>
      <c r="N22" s="13"/>
      <c r="O22" s="13" t="s">
        <v>26</v>
      </c>
      <c r="P22" s="13" t="s">
        <v>260</v>
      </c>
    </row>
    <row r="23" spans="2:16" ht="43.5" x14ac:dyDescent="0.35">
      <c r="B23" s="13" t="s">
        <v>60</v>
      </c>
      <c r="C23" s="13" t="s">
        <v>249</v>
      </c>
      <c r="D23" s="13" t="s">
        <v>250</v>
      </c>
      <c r="E23" s="13" t="s">
        <v>57</v>
      </c>
      <c r="F23" s="13" t="s">
        <v>81</v>
      </c>
      <c r="G23" s="13" t="s">
        <v>261</v>
      </c>
      <c r="H23" s="13" t="s">
        <v>88</v>
      </c>
      <c r="I23" s="14">
        <v>2</v>
      </c>
      <c r="J23" s="14" t="s">
        <v>262</v>
      </c>
      <c r="K23" s="13" t="s">
        <v>28</v>
      </c>
      <c r="L23" s="13" t="s">
        <v>10</v>
      </c>
      <c r="M23" s="13"/>
      <c r="N23" s="13"/>
      <c r="O23" s="13" t="s">
        <v>20</v>
      </c>
      <c r="P23" s="13" t="s">
        <v>263</v>
      </c>
    </row>
  </sheetData>
  <autoFilter ref="B5:P23" xr:uid="{6EF6D06A-A4B3-4AB9-A22F-9E0AEE342A59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DF43C-9C6A-42F7-9E6F-C6791CE8FC53}">
  <dimension ref="B17:P30"/>
  <sheetViews>
    <sheetView showGridLines="0" topLeftCell="A20" workbookViewId="0">
      <selection activeCell="O24" sqref="O24"/>
    </sheetView>
  </sheetViews>
  <sheetFormatPr baseColWidth="10" defaultColWidth="9" defaultRowHeight="14.5" x14ac:dyDescent="0.35"/>
  <cols>
    <col min="7" max="8" width="13.81640625" customWidth="1"/>
  </cols>
  <sheetData>
    <row r="17" spans="2:16" ht="43.5" x14ac:dyDescent="0.35">
      <c r="B17" s="1" t="s">
        <v>44</v>
      </c>
      <c r="C17" s="1" t="s">
        <v>66</v>
      </c>
      <c r="D17" s="1" t="s">
        <v>67</v>
      </c>
      <c r="E17" s="1" t="s">
        <v>45</v>
      </c>
      <c r="F17" s="1" t="s">
        <v>68</v>
      </c>
      <c r="G17" s="1" t="s">
        <v>69</v>
      </c>
      <c r="H17" s="1" t="s">
        <v>138</v>
      </c>
      <c r="I17" s="3" t="s">
        <v>71</v>
      </c>
      <c r="J17" s="3" t="s">
        <v>72</v>
      </c>
      <c r="K17" s="1" t="s">
        <v>73</v>
      </c>
      <c r="L17" s="1" t="s">
        <v>74</v>
      </c>
      <c r="M17" s="1" t="s">
        <v>75</v>
      </c>
      <c r="N17" s="1" t="s">
        <v>76</v>
      </c>
      <c r="O17" s="1" t="s">
        <v>77</v>
      </c>
      <c r="P17" s="1" t="s">
        <v>78</v>
      </c>
    </row>
    <row r="18" spans="2:16" ht="58" x14ac:dyDescent="0.35">
      <c r="B18" s="6" t="s">
        <v>61</v>
      </c>
      <c r="C18" s="6" t="s">
        <v>264</v>
      </c>
      <c r="D18" s="6" t="s">
        <v>265</v>
      </c>
      <c r="E18" s="6" t="s">
        <v>56</v>
      </c>
      <c r="F18" s="6" t="s">
        <v>81</v>
      </c>
      <c r="G18" s="6" t="s">
        <v>85</v>
      </c>
      <c r="H18" s="6"/>
      <c r="I18" s="7">
        <v>0</v>
      </c>
      <c r="J18" s="7"/>
      <c r="K18" s="6"/>
      <c r="L18" s="6"/>
      <c r="M18" s="6"/>
      <c r="N18" s="6"/>
      <c r="O18" s="6"/>
      <c r="P18" s="6" t="s">
        <v>266</v>
      </c>
    </row>
    <row r="19" spans="2:16" ht="174" x14ac:dyDescent="0.35">
      <c r="B19" s="2" t="s">
        <v>61</v>
      </c>
      <c r="C19" s="2" t="s">
        <v>264</v>
      </c>
      <c r="D19" s="2" t="s">
        <v>265</v>
      </c>
      <c r="E19" s="2" t="s">
        <v>57</v>
      </c>
      <c r="F19" s="2" t="s">
        <v>81</v>
      </c>
      <c r="G19" s="2" t="s">
        <v>46</v>
      </c>
      <c r="H19" s="2" t="s">
        <v>90</v>
      </c>
      <c r="I19" s="4">
        <v>5</v>
      </c>
      <c r="J19" s="4" t="s">
        <v>267</v>
      </c>
      <c r="K19" s="2" t="s">
        <v>20</v>
      </c>
      <c r="L19" s="2" t="s">
        <v>40</v>
      </c>
      <c r="M19" s="2"/>
      <c r="N19" s="2"/>
      <c r="O19" s="5" t="s">
        <v>29</v>
      </c>
      <c r="P19" s="2" t="s">
        <v>82</v>
      </c>
    </row>
    <row r="20" spans="2:16" ht="130.5" x14ac:dyDescent="0.35">
      <c r="B20" s="2" t="s">
        <v>61</v>
      </c>
      <c r="C20" s="2" t="s">
        <v>264</v>
      </c>
      <c r="D20" s="2" t="s">
        <v>265</v>
      </c>
      <c r="E20" s="2" t="s">
        <v>57</v>
      </c>
      <c r="F20" s="2" t="s">
        <v>81</v>
      </c>
      <c r="G20" s="2" t="s">
        <v>46</v>
      </c>
      <c r="H20" s="2" t="s">
        <v>90</v>
      </c>
      <c r="I20" s="4">
        <v>5</v>
      </c>
      <c r="J20" s="4" t="s">
        <v>268</v>
      </c>
      <c r="K20" s="2" t="s">
        <v>24</v>
      </c>
      <c r="L20" s="2" t="s">
        <v>25</v>
      </c>
      <c r="M20" s="2"/>
      <c r="N20" s="2"/>
      <c r="O20" s="5" t="s">
        <v>32</v>
      </c>
      <c r="P20" s="2" t="s">
        <v>82</v>
      </c>
    </row>
    <row r="21" spans="2:16" ht="188.5" x14ac:dyDescent="0.35">
      <c r="B21" s="6" t="s">
        <v>61</v>
      </c>
      <c r="C21" s="6" t="s">
        <v>269</v>
      </c>
      <c r="D21" s="6" t="s">
        <v>270</v>
      </c>
      <c r="E21" s="6" t="s">
        <v>56</v>
      </c>
      <c r="F21" s="6" t="s">
        <v>81</v>
      </c>
      <c r="G21" s="6" t="s">
        <v>46</v>
      </c>
      <c r="H21" s="6" t="s">
        <v>216</v>
      </c>
      <c r="I21" s="7">
        <v>4</v>
      </c>
      <c r="J21" s="7" t="s">
        <v>271</v>
      </c>
      <c r="K21" s="6" t="s">
        <v>31</v>
      </c>
      <c r="L21" s="6" t="s">
        <v>18</v>
      </c>
      <c r="M21" s="6"/>
      <c r="N21" s="6"/>
      <c r="O21" s="6" t="s">
        <v>19</v>
      </c>
      <c r="P21" s="6" t="s">
        <v>272</v>
      </c>
    </row>
    <row r="22" spans="2:16" ht="217.5" x14ac:dyDescent="0.35">
      <c r="B22" s="2" t="s">
        <v>61</v>
      </c>
      <c r="C22" s="2" t="s">
        <v>269</v>
      </c>
      <c r="D22" s="2" t="s">
        <v>270</v>
      </c>
      <c r="E22" s="2" t="s">
        <v>57</v>
      </c>
      <c r="F22" s="2" t="s">
        <v>81</v>
      </c>
      <c r="G22" s="2" t="s">
        <v>46</v>
      </c>
      <c r="H22" s="2" t="s">
        <v>90</v>
      </c>
      <c r="I22" s="4">
        <v>5</v>
      </c>
      <c r="J22" s="4" t="s">
        <v>273</v>
      </c>
      <c r="K22" s="2" t="s">
        <v>32</v>
      </c>
      <c r="L22" s="2" t="s">
        <v>28</v>
      </c>
      <c r="M22" s="2"/>
      <c r="N22" s="2"/>
      <c r="O22" s="2" t="s">
        <v>15</v>
      </c>
      <c r="P22" s="2" t="s">
        <v>274</v>
      </c>
    </row>
    <row r="23" spans="2:16" ht="203" x14ac:dyDescent="0.35">
      <c r="B23" s="2" t="s">
        <v>61</v>
      </c>
      <c r="C23" s="2" t="s">
        <v>269</v>
      </c>
      <c r="D23" s="2" t="s">
        <v>270</v>
      </c>
      <c r="E23" s="2" t="s">
        <v>57</v>
      </c>
      <c r="F23" s="2" t="s">
        <v>81</v>
      </c>
      <c r="G23" s="2" t="s">
        <v>46</v>
      </c>
      <c r="H23" s="2" t="s">
        <v>90</v>
      </c>
      <c r="I23" s="4">
        <v>5</v>
      </c>
      <c r="J23" s="4" t="s">
        <v>275</v>
      </c>
      <c r="K23" s="2" t="s">
        <v>29</v>
      </c>
      <c r="L23" s="2" t="s">
        <v>14</v>
      </c>
      <c r="M23" s="2"/>
      <c r="N23" s="2"/>
      <c r="O23" s="2" t="s">
        <v>10</v>
      </c>
      <c r="P23" s="2" t="s">
        <v>82</v>
      </c>
    </row>
    <row r="24" spans="2:16" ht="145" x14ac:dyDescent="0.35">
      <c r="B24" s="6" t="s">
        <v>61</v>
      </c>
      <c r="C24" s="6" t="s">
        <v>276</v>
      </c>
      <c r="D24" s="6" t="s">
        <v>277</v>
      </c>
      <c r="E24" s="6" t="s">
        <v>56</v>
      </c>
      <c r="F24" s="6" t="s">
        <v>81</v>
      </c>
      <c r="G24" s="6" t="s">
        <v>46</v>
      </c>
      <c r="H24" s="6" t="s">
        <v>251</v>
      </c>
      <c r="I24" s="7">
        <v>4</v>
      </c>
      <c r="J24" s="7" t="s">
        <v>278</v>
      </c>
      <c r="K24" s="6" t="s">
        <v>19</v>
      </c>
      <c r="L24" s="6" t="s">
        <v>16</v>
      </c>
      <c r="M24" s="6"/>
      <c r="N24" s="6"/>
      <c r="O24" s="6" t="s">
        <v>39</v>
      </c>
      <c r="P24" s="6" t="s">
        <v>279</v>
      </c>
    </row>
    <row r="25" spans="2:16" ht="203" x14ac:dyDescent="0.35">
      <c r="B25" s="2" t="s">
        <v>61</v>
      </c>
      <c r="C25" s="2" t="s">
        <v>276</v>
      </c>
      <c r="D25" s="2" t="s">
        <v>277</v>
      </c>
      <c r="E25" s="2" t="s">
        <v>57</v>
      </c>
      <c r="F25" s="2" t="s">
        <v>81</v>
      </c>
      <c r="G25" s="2" t="s">
        <v>46</v>
      </c>
      <c r="H25" s="2" t="s">
        <v>90</v>
      </c>
      <c r="I25" s="4">
        <v>5</v>
      </c>
      <c r="J25" s="4" t="s">
        <v>280</v>
      </c>
      <c r="K25" s="2" t="s">
        <v>27</v>
      </c>
      <c r="L25" s="2" t="s">
        <v>36</v>
      </c>
      <c r="M25" s="2"/>
      <c r="N25" s="2"/>
      <c r="O25" s="2" t="s">
        <v>37</v>
      </c>
      <c r="P25" s="2" t="s">
        <v>281</v>
      </c>
    </row>
    <row r="26" spans="2:16" ht="116" x14ac:dyDescent="0.35">
      <c r="B26" s="2" t="s">
        <v>61</v>
      </c>
      <c r="C26" s="2" t="s">
        <v>276</v>
      </c>
      <c r="D26" s="2" t="s">
        <v>277</v>
      </c>
      <c r="E26" s="2" t="s">
        <v>57</v>
      </c>
      <c r="F26" s="2" t="s">
        <v>81</v>
      </c>
      <c r="G26" s="2" t="s">
        <v>46</v>
      </c>
      <c r="H26" s="2" t="s">
        <v>90</v>
      </c>
      <c r="I26" s="4">
        <v>5</v>
      </c>
      <c r="J26" s="4" t="s">
        <v>282</v>
      </c>
      <c r="K26" s="2" t="s">
        <v>23</v>
      </c>
      <c r="L26" s="2" t="s">
        <v>25</v>
      </c>
      <c r="M26" s="2"/>
      <c r="N26" s="2"/>
      <c r="O26" s="2" t="s">
        <v>22</v>
      </c>
      <c r="P26" s="2" t="s">
        <v>82</v>
      </c>
    </row>
    <row r="27" spans="2:16" ht="116" x14ac:dyDescent="0.35">
      <c r="B27" s="6" t="s">
        <v>61</v>
      </c>
      <c r="C27" s="6" t="s">
        <v>283</v>
      </c>
      <c r="D27" s="6" t="s">
        <v>284</v>
      </c>
      <c r="E27" s="6" t="s">
        <v>56</v>
      </c>
      <c r="F27" s="6" t="s">
        <v>81</v>
      </c>
      <c r="G27" s="6" t="s">
        <v>47</v>
      </c>
      <c r="H27" s="6" t="s">
        <v>251</v>
      </c>
      <c r="I27" s="7">
        <v>3</v>
      </c>
      <c r="J27" s="7" t="s">
        <v>285</v>
      </c>
      <c r="K27" s="6" t="s">
        <v>12</v>
      </c>
      <c r="L27" s="6" t="s">
        <v>18</v>
      </c>
      <c r="M27" s="6"/>
      <c r="N27" s="6"/>
      <c r="O27" s="6" t="s">
        <v>19</v>
      </c>
      <c r="P27" s="6" t="s">
        <v>286</v>
      </c>
    </row>
    <row r="28" spans="2:16" ht="174" x14ac:dyDescent="0.35">
      <c r="B28" s="2" t="s">
        <v>61</v>
      </c>
      <c r="C28" s="2" t="s">
        <v>283</v>
      </c>
      <c r="D28" s="2" t="s">
        <v>284</v>
      </c>
      <c r="E28" s="2" t="s">
        <v>57</v>
      </c>
      <c r="F28" s="2" t="s">
        <v>81</v>
      </c>
      <c r="G28" s="2" t="s">
        <v>46</v>
      </c>
      <c r="H28" s="2" t="s">
        <v>90</v>
      </c>
      <c r="I28" s="4">
        <v>4</v>
      </c>
      <c r="J28" s="4" t="s">
        <v>287</v>
      </c>
      <c r="K28" s="2" t="s">
        <v>38</v>
      </c>
      <c r="L28" s="2" t="s">
        <v>21</v>
      </c>
      <c r="M28" s="2"/>
      <c r="N28" s="2"/>
      <c r="O28" s="5" t="s">
        <v>15</v>
      </c>
      <c r="P28" s="2" t="s">
        <v>220</v>
      </c>
    </row>
    <row r="29" spans="2:16" ht="145" x14ac:dyDescent="0.35">
      <c r="B29" s="2" t="s">
        <v>61</v>
      </c>
      <c r="C29" s="2" t="s">
        <v>283</v>
      </c>
      <c r="D29" s="2" t="s">
        <v>284</v>
      </c>
      <c r="E29" s="2" t="s">
        <v>57</v>
      </c>
      <c r="F29" s="2" t="s">
        <v>81</v>
      </c>
      <c r="G29" s="2" t="s">
        <v>46</v>
      </c>
      <c r="H29" s="2" t="s">
        <v>90</v>
      </c>
      <c r="I29" s="4">
        <v>4</v>
      </c>
      <c r="J29" s="4" t="s">
        <v>288</v>
      </c>
      <c r="K29" s="2" t="s">
        <v>14</v>
      </c>
      <c r="L29" s="2" t="s">
        <v>17</v>
      </c>
      <c r="M29" s="2"/>
      <c r="N29" s="2"/>
      <c r="O29" s="5" t="s">
        <v>41</v>
      </c>
      <c r="P29" s="2" t="s">
        <v>289</v>
      </c>
    </row>
    <row r="30" spans="2:16" ht="174" x14ac:dyDescent="0.35">
      <c r="B30" s="2" t="s">
        <v>61</v>
      </c>
      <c r="C30" s="2" t="s">
        <v>283</v>
      </c>
      <c r="D30" s="2" t="s">
        <v>284</v>
      </c>
      <c r="E30" s="2" t="s">
        <v>57</v>
      </c>
      <c r="F30" s="2" t="s">
        <v>81</v>
      </c>
      <c r="G30" s="2" t="s">
        <v>46</v>
      </c>
      <c r="H30" s="2" t="s">
        <v>90</v>
      </c>
      <c r="I30" s="4">
        <v>4</v>
      </c>
      <c r="J30" s="4" t="s">
        <v>290</v>
      </c>
      <c r="K30" s="2" t="s">
        <v>22</v>
      </c>
      <c r="L30" s="2" t="s">
        <v>24</v>
      </c>
      <c r="M30" s="2"/>
      <c r="N30" s="2"/>
      <c r="O30" s="20"/>
      <c r="P30" s="2" t="s">
        <v>291</v>
      </c>
    </row>
  </sheetData>
  <autoFilter ref="B17:P30" xr:uid="{1EDDF43C-9C6A-42F7-9E6F-C6791CE8FC5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C7984-D7B7-4E4B-88A7-31EA4594F948}">
  <dimension ref="B2:Q18"/>
  <sheetViews>
    <sheetView showGridLines="0" workbookViewId="0">
      <selection activeCell="K1" sqref="K1"/>
    </sheetView>
  </sheetViews>
  <sheetFormatPr baseColWidth="10" defaultColWidth="9" defaultRowHeight="14.5" x14ac:dyDescent="0.35"/>
  <cols>
    <col min="10" max="10" width="23.81640625" customWidth="1"/>
  </cols>
  <sheetData>
    <row r="2" spans="2:17" ht="43.5" x14ac:dyDescent="0.35">
      <c r="B2" s="1" t="s">
        <v>44</v>
      </c>
      <c r="C2" s="1" t="s">
        <v>66</v>
      </c>
      <c r="D2" s="1" t="s">
        <v>67</v>
      </c>
      <c r="E2" s="1" t="s">
        <v>45</v>
      </c>
      <c r="F2" s="1" t="s">
        <v>68</v>
      </c>
      <c r="G2" s="1" t="s">
        <v>69</v>
      </c>
      <c r="H2" s="1" t="s">
        <v>138</v>
      </c>
      <c r="I2" s="3" t="s">
        <v>71</v>
      </c>
      <c r="J2" s="3" t="s">
        <v>292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</row>
    <row r="3" spans="2:17" ht="43.5" x14ac:dyDescent="0.35">
      <c r="B3" s="6" t="s">
        <v>62</v>
      </c>
      <c r="C3" s="6" t="s">
        <v>293</v>
      </c>
      <c r="D3" s="6" t="s">
        <v>294</v>
      </c>
      <c r="E3" s="6" t="s">
        <v>56</v>
      </c>
      <c r="F3" s="6" t="s">
        <v>81</v>
      </c>
      <c r="G3" s="6" t="s">
        <v>46</v>
      </c>
      <c r="H3" s="6"/>
      <c r="I3" s="7">
        <v>0</v>
      </c>
      <c r="J3" s="7"/>
      <c r="K3" s="7" t="s">
        <v>141</v>
      </c>
      <c r="L3" s="7" t="s">
        <v>141</v>
      </c>
      <c r="M3" s="6"/>
      <c r="N3" s="6"/>
      <c r="O3" s="6"/>
      <c r="P3" s="6" t="s">
        <v>295</v>
      </c>
    </row>
    <row r="4" spans="2:17" ht="87" x14ac:dyDescent="0.35">
      <c r="B4" s="2" t="s">
        <v>62</v>
      </c>
      <c r="C4" s="2" t="s">
        <v>293</v>
      </c>
      <c r="D4" s="2" t="s">
        <v>294</v>
      </c>
      <c r="E4" s="2" t="s">
        <v>57</v>
      </c>
      <c r="F4" s="2" t="s">
        <v>81</v>
      </c>
      <c r="G4" s="2" t="s">
        <v>46</v>
      </c>
      <c r="H4" s="2" t="s">
        <v>90</v>
      </c>
      <c r="I4" s="4">
        <v>5</v>
      </c>
      <c r="J4" s="4" t="s">
        <v>296</v>
      </c>
      <c r="K4" s="2" t="s">
        <v>29</v>
      </c>
      <c r="L4" s="2" t="s">
        <v>15</v>
      </c>
      <c r="M4" s="2"/>
      <c r="N4" s="2"/>
      <c r="O4" s="2" t="s">
        <v>10</v>
      </c>
      <c r="P4" s="2" t="s">
        <v>82</v>
      </c>
    </row>
    <row r="5" spans="2:17" ht="72.5" x14ac:dyDescent="0.35">
      <c r="B5" s="2" t="s">
        <v>62</v>
      </c>
      <c r="C5" s="2" t="s">
        <v>293</v>
      </c>
      <c r="D5" s="2" t="s">
        <v>294</v>
      </c>
      <c r="E5" s="2" t="s">
        <v>57</v>
      </c>
      <c r="F5" s="2" t="s">
        <v>81</v>
      </c>
      <c r="G5" s="2" t="s">
        <v>46</v>
      </c>
      <c r="H5" s="2" t="s">
        <v>90</v>
      </c>
      <c r="I5" s="4">
        <v>5</v>
      </c>
      <c r="J5" s="4" t="s">
        <v>297</v>
      </c>
      <c r="K5" s="2" t="s">
        <v>26</v>
      </c>
      <c r="L5" s="2" t="s">
        <v>36</v>
      </c>
      <c r="M5" s="2"/>
      <c r="N5" s="2"/>
      <c r="O5" s="2" t="s">
        <v>14</v>
      </c>
      <c r="P5" s="2" t="s">
        <v>82</v>
      </c>
    </row>
    <row r="6" spans="2:17" ht="58" x14ac:dyDescent="0.35">
      <c r="B6" s="6" t="s">
        <v>62</v>
      </c>
      <c r="C6" s="6" t="s">
        <v>298</v>
      </c>
      <c r="D6" s="6" t="s">
        <v>299</v>
      </c>
      <c r="E6" s="6" t="s">
        <v>56</v>
      </c>
      <c r="F6" s="6" t="s">
        <v>81</v>
      </c>
      <c r="G6" s="6" t="s">
        <v>46</v>
      </c>
      <c r="H6" s="6" t="s">
        <v>123</v>
      </c>
      <c r="I6" s="7">
        <v>4</v>
      </c>
      <c r="J6" s="7" t="s">
        <v>300</v>
      </c>
      <c r="K6" s="6" t="s">
        <v>16</v>
      </c>
      <c r="L6" s="6" t="s">
        <v>12</v>
      </c>
      <c r="M6" s="6"/>
      <c r="N6" s="6"/>
      <c r="O6" s="6" t="s">
        <v>19</v>
      </c>
      <c r="P6" s="6" t="s">
        <v>87</v>
      </c>
    </row>
    <row r="7" spans="2:17" ht="72.5" x14ac:dyDescent="0.35">
      <c r="B7" s="2" t="s">
        <v>62</v>
      </c>
      <c r="C7" s="2" t="s">
        <v>298</v>
      </c>
      <c r="D7" s="2" t="s">
        <v>299</v>
      </c>
      <c r="E7" s="2" t="s">
        <v>57</v>
      </c>
      <c r="F7" s="2" t="s">
        <v>81</v>
      </c>
      <c r="G7" s="2" t="s">
        <v>46</v>
      </c>
      <c r="H7" s="2" t="s">
        <v>90</v>
      </c>
      <c r="I7" s="4">
        <v>5</v>
      </c>
      <c r="J7" s="4" t="s">
        <v>301</v>
      </c>
      <c r="K7" s="2" t="s">
        <v>27</v>
      </c>
      <c r="L7" s="2" t="s">
        <v>30</v>
      </c>
      <c r="M7" s="2"/>
      <c r="N7" s="2"/>
      <c r="O7" s="5" t="s">
        <v>22</v>
      </c>
      <c r="P7" s="2" t="s">
        <v>82</v>
      </c>
    </row>
    <row r="8" spans="2:17" ht="72.5" x14ac:dyDescent="0.35">
      <c r="B8" s="2" t="s">
        <v>62</v>
      </c>
      <c r="C8" s="2" t="s">
        <v>298</v>
      </c>
      <c r="D8" s="2" t="s">
        <v>299</v>
      </c>
      <c r="E8" s="2" t="s">
        <v>57</v>
      </c>
      <c r="F8" s="2" t="s">
        <v>81</v>
      </c>
      <c r="G8" s="2" t="s">
        <v>46</v>
      </c>
      <c r="H8" s="2" t="s">
        <v>90</v>
      </c>
      <c r="I8" s="4">
        <v>5</v>
      </c>
      <c r="J8" s="4" t="s">
        <v>302</v>
      </c>
      <c r="K8" s="2" t="s">
        <v>17</v>
      </c>
      <c r="L8" s="2" t="s">
        <v>32</v>
      </c>
      <c r="M8" s="2"/>
      <c r="N8" s="2"/>
      <c r="O8" s="5" t="s">
        <v>20</v>
      </c>
      <c r="P8" s="2" t="s">
        <v>82</v>
      </c>
    </row>
    <row r="9" spans="2:17" ht="29" x14ac:dyDescent="0.35">
      <c r="B9" s="8" t="s">
        <v>62</v>
      </c>
      <c r="C9" s="8" t="s">
        <v>298</v>
      </c>
      <c r="D9" s="8" t="s">
        <v>303</v>
      </c>
      <c r="E9" s="8" t="s">
        <v>187</v>
      </c>
      <c r="F9" s="8" t="s">
        <v>52</v>
      </c>
      <c r="G9" s="8" t="s">
        <v>304</v>
      </c>
      <c r="H9" s="8" t="s">
        <v>189</v>
      </c>
      <c r="I9" s="9">
        <v>1</v>
      </c>
      <c r="J9" s="9"/>
      <c r="K9" s="8" t="s">
        <v>35</v>
      </c>
      <c r="L9" s="8" t="s">
        <v>40</v>
      </c>
      <c r="M9" s="8"/>
      <c r="N9" s="8"/>
      <c r="O9" s="11" t="s">
        <v>21</v>
      </c>
      <c r="P9" s="8" t="s">
        <v>158</v>
      </c>
    </row>
    <row r="10" spans="2:17" ht="72.5" x14ac:dyDescent="0.35">
      <c r="B10" s="6" t="s">
        <v>62</v>
      </c>
      <c r="C10" s="6" t="s">
        <v>305</v>
      </c>
      <c r="D10" s="6" t="s">
        <v>306</v>
      </c>
      <c r="E10" s="6" t="s">
        <v>56</v>
      </c>
      <c r="F10" s="6" t="s">
        <v>81</v>
      </c>
      <c r="G10" s="6" t="s">
        <v>46</v>
      </c>
      <c r="H10" s="6" t="s">
        <v>307</v>
      </c>
      <c r="I10" s="7">
        <v>4</v>
      </c>
      <c r="J10" s="7" t="s">
        <v>308</v>
      </c>
      <c r="K10" s="6" t="s">
        <v>31</v>
      </c>
      <c r="L10" s="6" t="s">
        <v>19</v>
      </c>
      <c r="M10" s="6"/>
      <c r="N10" s="6"/>
      <c r="O10" s="6" t="s">
        <v>39</v>
      </c>
      <c r="P10" s="6" t="s">
        <v>87</v>
      </c>
    </row>
    <row r="11" spans="2:17" ht="72.5" x14ac:dyDescent="0.35">
      <c r="B11" s="2" t="s">
        <v>62</v>
      </c>
      <c r="C11" s="2" t="s">
        <v>305</v>
      </c>
      <c r="D11" s="2" t="s">
        <v>306</v>
      </c>
      <c r="E11" s="2" t="s">
        <v>57</v>
      </c>
      <c r="F11" s="2" t="s">
        <v>81</v>
      </c>
      <c r="G11" s="2" t="s">
        <v>46</v>
      </c>
      <c r="H11" s="2" t="s">
        <v>90</v>
      </c>
      <c r="I11" s="4">
        <v>5</v>
      </c>
      <c r="J11" s="4" t="s">
        <v>309</v>
      </c>
      <c r="K11" s="2" t="s">
        <v>25</v>
      </c>
      <c r="L11" s="2" t="s">
        <v>38</v>
      </c>
      <c r="M11" s="2"/>
      <c r="N11" s="2"/>
      <c r="O11" s="11"/>
      <c r="P11" s="2" t="s">
        <v>82</v>
      </c>
    </row>
    <row r="12" spans="2:17" ht="72.5" x14ac:dyDescent="0.35">
      <c r="B12" s="2" t="s">
        <v>62</v>
      </c>
      <c r="C12" s="2" t="s">
        <v>305</v>
      </c>
      <c r="D12" s="2" t="s">
        <v>306</v>
      </c>
      <c r="E12" s="2" t="s">
        <v>57</v>
      </c>
      <c r="F12" s="2" t="s">
        <v>81</v>
      </c>
      <c r="G12" s="2" t="s">
        <v>46</v>
      </c>
      <c r="H12" s="2" t="s">
        <v>116</v>
      </c>
      <c r="I12" s="4">
        <v>4</v>
      </c>
      <c r="J12" s="4" t="s">
        <v>310</v>
      </c>
      <c r="K12" s="2" t="s">
        <v>26</v>
      </c>
      <c r="L12" s="2" t="s">
        <v>10</v>
      </c>
      <c r="M12" s="2"/>
      <c r="N12" s="2"/>
      <c r="O12" s="18" t="s">
        <v>29</v>
      </c>
      <c r="P12" s="2" t="s">
        <v>82</v>
      </c>
    </row>
    <row r="13" spans="2:17" ht="58" x14ac:dyDescent="0.35">
      <c r="B13" s="2" t="s">
        <v>62</v>
      </c>
      <c r="C13" s="2" t="s">
        <v>305</v>
      </c>
      <c r="D13" s="2" t="s">
        <v>306</v>
      </c>
      <c r="E13" s="2" t="s">
        <v>57</v>
      </c>
      <c r="F13" s="2" t="s">
        <v>81</v>
      </c>
      <c r="G13" s="2" t="s">
        <v>46</v>
      </c>
      <c r="H13" s="2" t="s">
        <v>126</v>
      </c>
      <c r="I13" s="4">
        <v>4</v>
      </c>
      <c r="J13" s="4" t="s">
        <v>311</v>
      </c>
      <c r="K13" s="2" t="s">
        <v>37</v>
      </c>
      <c r="L13" s="2" t="s">
        <v>21</v>
      </c>
      <c r="M13" s="2"/>
      <c r="N13" s="2"/>
      <c r="O13" s="18" t="s">
        <v>41</v>
      </c>
      <c r="P13" s="2"/>
      <c r="Q13" s="16"/>
    </row>
    <row r="14" spans="2:17" ht="58" x14ac:dyDescent="0.35">
      <c r="B14" s="6" t="s">
        <v>62</v>
      </c>
      <c r="C14" s="6" t="s">
        <v>312</v>
      </c>
      <c r="D14" s="6" t="s">
        <v>313</v>
      </c>
      <c r="E14" s="6" t="s">
        <v>56</v>
      </c>
      <c r="F14" s="6" t="s">
        <v>81</v>
      </c>
      <c r="G14" s="6" t="s">
        <v>46</v>
      </c>
      <c r="H14" s="6" t="s">
        <v>314</v>
      </c>
      <c r="I14" s="7">
        <v>4</v>
      </c>
      <c r="J14" s="7" t="s">
        <v>315</v>
      </c>
      <c r="K14" s="6" t="s">
        <v>18</v>
      </c>
      <c r="L14" s="6" t="s">
        <v>12</v>
      </c>
      <c r="M14" s="6"/>
      <c r="N14" s="6"/>
      <c r="O14" s="6" t="s">
        <v>39</v>
      </c>
      <c r="P14" s="6" t="s">
        <v>82</v>
      </c>
    </row>
    <row r="15" spans="2:17" ht="64.5" customHeight="1" x14ac:dyDescent="0.35">
      <c r="B15" s="2" t="s">
        <v>62</v>
      </c>
      <c r="C15" s="2" t="s">
        <v>312</v>
      </c>
      <c r="D15" s="2" t="s">
        <v>313</v>
      </c>
      <c r="E15" s="2" t="s">
        <v>57</v>
      </c>
      <c r="F15" s="2" t="s">
        <v>81</v>
      </c>
      <c r="G15" s="2" t="s">
        <v>46</v>
      </c>
      <c r="H15" s="2" t="s">
        <v>316</v>
      </c>
      <c r="I15" s="4">
        <v>4</v>
      </c>
      <c r="J15" s="4" t="s">
        <v>317</v>
      </c>
      <c r="K15" s="2" t="s">
        <v>23</v>
      </c>
      <c r="L15" s="2" t="s">
        <v>22</v>
      </c>
      <c r="M15" s="2"/>
      <c r="N15" s="2"/>
      <c r="O15" s="5" t="s">
        <v>36</v>
      </c>
      <c r="P15" s="2" t="s">
        <v>82</v>
      </c>
    </row>
    <row r="16" spans="2:17" ht="72.5" x14ac:dyDescent="0.35">
      <c r="B16" s="2" t="s">
        <v>62</v>
      </c>
      <c r="C16" s="2" t="s">
        <v>312</v>
      </c>
      <c r="D16" s="2" t="s">
        <v>313</v>
      </c>
      <c r="E16" s="2" t="s">
        <v>57</v>
      </c>
      <c r="F16" s="2" t="s">
        <v>81</v>
      </c>
      <c r="G16" s="2" t="s">
        <v>46</v>
      </c>
      <c r="H16" s="2" t="s">
        <v>116</v>
      </c>
      <c r="I16" s="4">
        <v>4</v>
      </c>
      <c r="J16" s="4" t="s">
        <v>318</v>
      </c>
      <c r="K16" s="2" t="s">
        <v>15</v>
      </c>
      <c r="L16" s="2" t="s">
        <v>35</v>
      </c>
      <c r="M16" s="2"/>
      <c r="N16" s="2"/>
      <c r="O16" s="5" t="s">
        <v>27</v>
      </c>
      <c r="P16" s="2" t="s">
        <v>82</v>
      </c>
    </row>
    <row r="17" spans="2:16" ht="72.5" x14ac:dyDescent="0.35">
      <c r="B17" s="2" t="s">
        <v>62</v>
      </c>
      <c r="C17" s="2" t="s">
        <v>312</v>
      </c>
      <c r="D17" s="2" t="s">
        <v>319</v>
      </c>
      <c r="E17" s="2" t="s">
        <v>57</v>
      </c>
      <c r="F17" s="2" t="s">
        <v>81</v>
      </c>
      <c r="G17" s="2" t="s">
        <v>46</v>
      </c>
      <c r="H17" s="2" t="s">
        <v>107</v>
      </c>
      <c r="I17" s="4">
        <v>5</v>
      </c>
      <c r="J17" s="4" t="s">
        <v>320</v>
      </c>
      <c r="K17" s="2" t="s">
        <v>28</v>
      </c>
      <c r="L17" s="2" t="s">
        <v>17</v>
      </c>
      <c r="M17" s="2"/>
      <c r="N17" s="2"/>
      <c r="O17" s="20"/>
      <c r="P17" s="2"/>
    </row>
    <row r="18" spans="2:16" ht="72.5" x14ac:dyDescent="0.35">
      <c r="B18" s="2" t="s">
        <v>62</v>
      </c>
      <c r="C18" s="2" t="s">
        <v>312</v>
      </c>
      <c r="D18" s="2" t="s">
        <v>313</v>
      </c>
      <c r="E18" s="2" t="s">
        <v>57</v>
      </c>
      <c r="F18" s="2" t="s">
        <v>81</v>
      </c>
      <c r="G18" s="2" t="s">
        <v>46</v>
      </c>
      <c r="H18" s="2" t="s">
        <v>126</v>
      </c>
      <c r="I18" s="4">
        <v>4</v>
      </c>
      <c r="J18" s="4" t="s">
        <v>321</v>
      </c>
      <c r="K18" s="2" t="s">
        <v>14</v>
      </c>
      <c r="L18" s="2" t="s">
        <v>41</v>
      </c>
      <c r="M18" s="2"/>
      <c r="N18" s="2"/>
      <c r="O18" s="20"/>
      <c r="P18" s="2"/>
    </row>
  </sheetData>
  <autoFilter ref="B2:P18" xr:uid="{86DC7984-D7B7-4E4B-88A7-31EA4594F948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956DD-C713-498D-A4DF-0463884F78AE}">
  <dimension ref="B2:P17"/>
  <sheetViews>
    <sheetView showGridLines="0" workbookViewId="0">
      <selection activeCell="L15" sqref="L15"/>
    </sheetView>
  </sheetViews>
  <sheetFormatPr baseColWidth="10" defaultColWidth="9" defaultRowHeight="15" customHeight="1" x14ac:dyDescent="0.35"/>
  <sheetData>
    <row r="2" spans="2:16" ht="43.5" x14ac:dyDescent="0.35">
      <c r="B2" s="1" t="s">
        <v>44</v>
      </c>
      <c r="C2" s="1" t="s">
        <v>66</v>
      </c>
      <c r="D2" s="1" t="s">
        <v>67</v>
      </c>
      <c r="E2" s="1" t="s">
        <v>45</v>
      </c>
      <c r="F2" s="1" t="s">
        <v>68</v>
      </c>
      <c r="G2" s="1" t="s">
        <v>69</v>
      </c>
      <c r="H2" s="1" t="s">
        <v>138</v>
      </c>
      <c r="I2" s="3" t="s">
        <v>71</v>
      </c>
      <c r="J2" s="3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</row>
    <row r="3" spans="2:16" ht="29" x14ac:dyDescent="0.35">
      <c r="B3" s="6" t="s">
        <v>63</v>
      </c>
      <c r="C3" s="6" t="s">
        <v>322</v>
      </c>
      <c r="D3" s="6" t="s">
        <v>323</v>
      </c>
      <c r="E3" s="6" t="s">
        <v>56</v>
      </c>
      <c r="F3" s="6" t="s">
        <v>81</v>
      </c>
      <c r="G3" s="6" t="s">
        <v>46</v>
      </c>
      <c r="H3" s="6"/>
      <c r="I3" s="7">
        <v>0</v>
      </c>
      <c r="J3" s="7"/>
      <c r="K3" s="6" t="s">
        <v>141</v>
      </c>
      <c r="L3" s="6" t="s">
        <v>141</v>
      </c>
      <c r="M3" s="6"/>
      <c r="N3" s="6"/>
      <c r="O3" s="6"/>
      <c r="P3" s="6" t="s">
        <v>208</v>
      </c>
    </row>
    <row r="4" spans="2:16" ht="246.5" x14ac:dyDescent="0.35">
      <c r="B4" s="2" t="s">
        <v>63</v>
      </c>
      <c r="C4" s="2" t="s">
        <v>322</v>
      </c>
      <c r="D4" s="2" t="s">
        <v>323</v>
      </c>
      <c r="E4" s="2" t="s">
        <v>57</v>
      </c>
      <c r="F4" s="2" t="s">
        <v>81</v>
      </c>
      <c r="G4" s="2" t="s">
        <v>46</v>
      </c>
      <c r="H4" s="2" t="s">
        <v>126</v>
      </c>
      <c r="I4" s="4">
        <v>4</v>
      </c>
      <c r="J4" s="4" t="s">
        <v>324</v>
      </c>
      <c r="K4" s="2" t="s">
        <v>20</v>
      </c>
      <c r="L4" s="2" t="s">
        <v>36</v>
      </c>
      <c r="M4" s="2"/>
      <c r="N4" s="2"/>
      <c r="O4" s="2" t="s">
        <v>26</v>
      </c>
      <c r="P4" s="2" t="s">
        <v>82</v>
      </c>
    </row>
    <row r="5" spans="2:16" ht="217.5" x14ac:dyDescent="0.35">
      <c r="B5" s="2" t="s">
        <v>63</v>
      </c>
      <c r="C5" s="2" t="s">
        <v>322</v>
      </c>
      <c r="D5" s="2" t="s">
        <v>323</v>
      </c>
      <c r="E5" s="2" t="s">
        <v>57</v>
      </c>
      <c r="F5" s="2" t="s">
        <v>81</v>
      </c>
      <c r="G5" s="2" t="s">
        <v>46</v>
      </c>
      <c r="H5" s="2" t="s">
        <v>325</v>
      </c>
      <c r="I5" s="4">
        <v>5</v>
      </c>
      <c r="J5" s="4" t="s">
        <v>326</v>
      </c>
      <c r="K5" s="2" t="s">
        <v>24</v>
      </c>
      <c r="L5" s="2" t="s">
        <v>33</v>
      </c>
      <c r="M5" s="2"/>
      <c r="N5" s="2"/>
      <c r="O5" s="2" t="s">
        <v>10</v>
      </c>
      <c r="P5" s="2" t="s">
        <v>82</v>
      </c>
    </row>
    <row r="6" spans="2:16" ht="116" x14ac:dyDescent="0.35">
      <c r="B6" s="6" t="s">
        <v>63</v>
      </c>
      <c r="C6" s="6" t="s">
        <v>327</v>
      </c>
      <c r="D6" s="6" t="s">
        <v>328</v>
      </c>
      <c r="E6" s="6" t="s">
        <v>56</v>
      </c>
      <c r="F6" s="6" t="s">
        <v>81</v>
      </c>
      <c r="G6" s="6" t="s">
        <v>46</v>
      </c>
      <c r="H6" s="6" t="s">
        <v>149</v>
      </c>
      <c r="I6" s="7">
        <v>4</v>
      </c>
      <c r="J6" s="7" t="s">
        <v>329</v>
      </c>
      <c r="K6" s="6" t="s">
        <v>19</v>
      </c>
      <c r="L6" s="6" t="s">
        <v>39</v>
      </c>
      <c r="M6" s="6"/>
      <c r="N6" s="6"/>
      <c r="O6" s="6" t="s">
        <v>16</v>
      </c>
      <c r="P6" s="6" t="s">
        <v>87</v>
      </c>
    </row>
    <row r="7" spans="2:16" ht="101.5" x14ac:dyDescent="0.35">
      <c r="B7" s="2" t="s">
        <v>63</v>
      </c>
      <c r="C7" s="2" t="s">
        <v>327</v>
      </c>
      <c r="D7" s="2" t="s">
        <v>328</v>
      </c>
      <c r="E7" s="2" t="s">
        <v>57</v>
      </c>
      <c r="F7" s="2" t="s">
        <v>81</v>
      </c>
      <c r="G7" s="2" t="s">
        <v>46</v>
      </c>
      <c r="H7" s="2" t="s">
        <v>330</v>
      </c>
      <c r="I7" s="4">
        <v>4</v>
      </c>
      <c r="J7" s="4" t="s">
        <v>331</v>
      </c>
      <c r="K7" s="2" t="s">
        <v>25</v>
      </c>
      <c r="L7" s="2" t="s">
        <v>37</v>
      </c>
      <c r="M7" s="2"/>
      <c r="N7" s="2"/>
      <c r="O7" s="5" t="s">
        <v>32</v>
      </c>
      <c r="P7" s="2" t="s">
        <v>82</v>
      </c>
    </row>
    <row r="8" spans="2:16" ht="130.5" x14ac:dyDescent="0.35">
      <c r="B8" s="2" t="s">
        <v>63</v>
      </c>
      <c r="C8" s="2" t="s">
        <v>327</v>
      </c>
      <c r="D8" s="2" t="s">
        <v>328</v>
      </c>
      <c r="E8" s="2" t="s">
        <v>57</v>
      </c>
      <c r="F8" s="2" t="s">
        <v>81</v>
      </c>
      <c r="G8" s="2" t="s">
        <v>46</v>
      </c>
      <c r="H8" s="2" t="s">
        <v>330</v>
      </c>
      <c r="I8" s="4">
        <v>4</v>
      </c>
      <c r="J8" s="4" t="s">
        <v>332</v>
      </c>
      <c r="K8" s="2" t="s">
        <v>29</v>
      </c>
      <c r="L8" s="2" t="s">
        <v>30</v>
      </c>
      <c r="M8" s="2"/>
      <c r="N8" s="2"/>
      <c r="O8" s="5" t="s">
        <v>21</v>
      </c>
      <c r="P8" s="2" t="s">
        <v>82</v>
      </c>
    </row>
    <row r="9" spans="2:16" ht="130.5" x14ac:dyDescent="0.35">
      <c r="B9" s="6" t="s">
        <v>63</v>
      </c>
      <c r="C9" s="6" t="s">
        <v>333</v>
      </c>
      <c r="D9" s="6" t="s">
        <v>334</v>
      </c>
      <c r="E9" s="6" t="s">
        <v>56</v>
      </c>
      <c r="F9" s="6" t="s">
        <v>81</v>
      </c>
      <c r="G9" s="6" t="s">
        <v>46</v>
      </c>
      <c r="H9" s="6" t="s">
        <v>149</v>
      </c>
      <c r="I9" s="7">
        <v>4</v>
      </c>
      <c r="J9" s="7" t="s">
        <v>335</v>
      </c>
      <c r="K9" s="6" t="s">
        <v>18</v>
      </c>
      <c r="L9" s="6" t="s">
        <v>16</v>
      </c>
      <c r="M9" s="6"/>
      <c r="N9" s="6"/>
      <c r="O9" s="6" t="s">
        <v>12</v>
      </c>
      <c r="P9" s="6" t="s">
        <v>336</v>
      </c>
    </row>
    <row r="10" spans="2:16" ht="116" x14ac:dyDescent="0.35">
      <c r="B10" s="2" t="s">
        <v>63</v>
      </c>
      <c r="C10" s="2" t="s">
        <v>333</v>
      </c>
      <c r="D10" s="2" t="s">
        <v>334</v>
      </c>
      <c r="E10" s="2" t="s">
        <v>57</v>
      </c>
      <c r="F10" s="2" t="s">
        <v>81</v>
      </c>
      <c r="G10" s="2" t="s">
        <v>46</v>
      </c>
      <c r="H10" s="2" t="s">
        <v>129</v>
      </c>
      <c r="I10" s="4">
        <v>4</v>
      </c>
      <c r="J10" s="4" t="s">
        <v>337</v>
      </c>
      <c r="K10" s="2" t="s">
        <v>22</v>
      </c>
      <c r="L10" s="2" t="s">
        <v>26</v>
      </c>
      <c r="M10" s="2"/>
      <c r="N10" s="2"/>
      <c r="O10" s="2" t="s">
        <v>20</v>
      </c>
      <c r="P10" s="2" t="s">
        <v>82</v>
      </c>
    </row>
    <row r="11" spans="2:16" ht="116" x14ac:dyDescent="0.35">
      <c r="B11" s="2" t="s">
        <v>63</v>
      </c>
      <c r="C11" s="2" t="s">
        <v>333</v>
      </c>
      <c r="D11" s="2" t="s">
        <v>334</v>
      </c>
      <c r="E11" s="2" t="s">
        <v>57</v>
      </c>
      <c r="F11" s="2" t="s">
        <v>81</v>
      </c>
      <c r="G11" s="2" t="s">
        <v>46</v>
      </c>
      <c r="H11" s="2" t="s">
        <v>129</v>
      </c>
      <c r="I11" s="4">
        <v>4</v>
      </c>
      <c r="J11" s="4" t="s">
        <v>338</v>
      </c>
      <c r="K11" s="2" t="s">
        <v>27</v>
      </c>
      <c r="L11" s="2" t="s">
        <v>15</v>
      </c>
      <c r="M11" s="2"/>
      <c r="N11" s="2"/>
      <c r="O11" s="2" t="s">
        <v>38</v>
      </c>
      <c r="P11" s="2" t="s">
        <v>82</v>
      </c>
    </row>
    <row r="12" spans="2:16" ht="188.5" x14ac:dyDescent="0.35">
      <c r="B12" s="2" t="s">
        <v>63</v>
      </c>
      <c r="C12" s="2" t="s">
        <v>333</v>
      </c>
      <c r="D12" s="2" t="s">
        <v>334</v>
      </c>
      <c r="E12" s="2" t="s">
        <v>57</v>
      </c>
      <c r="F12" s="2" t="s">
        <v>81</v>
      </c>
      <c r="G12" s="2" t="s">
        <v>46</v>
      </c>
      <c r="H12" s="2" t="s">
        <v>129</v>
      </c>
      <c r="I12" s="4">
        <v>4</v>
      </c>
      <c r="J12" s="4" t="s">
        <v>339</v>
      </c>
      <c r="K12" s="2" t="s">
        <v>41</v>
      </c>
      <c r="L12" s="2" t="s">
        <v>35</v>
      </c>
      <c r="M12" s="2"/>
      <c r="N12" s="2"/>
      <c r="O12" s="2"/>
      <c r="P12" s="2"/>
    </row>
    <row r="13" spans="2:16" ht="130.5" x14ac:dyDescent="0.35">
      <c r="B13" s="6" t="s">
        <v>63</v>
      </c>
      <c r="C13" s="6" t="s">
        <v>340</v>
      </c>
      <c r="D13" s="6" t="s">
        <v>341</v>
      </c>
      <c r="E13" s="6" t="s">
        <v>56</v>
      </c>
      <c r="F13" s="6" t="s">
        <v>81</v>
      </c>
      <c r="G13" s="6" t="s">
        <v>46</v>
      </c>
      <c r="H13" s="6" t="s">
        <v>149</v>
      </c>
      <c r="I13" s="7">
        <v>4</v>
      </c>
      <c r="J13" s="7" t="s">
        <v>342</v>
      </c>
      <c r="K13" s="6" t="s">
        <v>31</v>
      </c>
      <c r="L13" s="6" t="s">
        <v>12</v>
      </c>
      <c r="M13" s="6"/>
      <c r="N13" s="6"/>
      <c r="O13" s="6" t="s">
        <v>19</v>
      </c>
      <c r="P13" s="6" t="s">
        <v>343</v>
      </c>
    </row>
    <row r="14" spans="2:16" ht="130.5" x14ac:dyDescent="0.35">
      <c r="B14" s="2" t="s">
        <v>63</v>
      </c>
      <c r="C14" s="2" t="s">
        <v>340</v>
      </c>
      <c r="D14" s="2" t="s">
        <v>341</v>
      </c>
      <c r="E14" s="2" t="s">
        <v>57</v>
      </c>
      <c r="F14" s="2" t="s">
        <v>81</v>
      </c>
      <c r="G14" s="2" t="s">
        <v>46</v>
      </c>
      <c r="H14" s="2" t="s">
        <v>129</v>
      </c>
      <c r="I14" s="4">
        <v>4</v>
      </c>
      <c r="J14" s="4" t="s">
        <v>344</v>
      </c>
      <c r="K14" s="2" t="s">
        <v>10</v>
      </c>
      <c r="L14" s="2" t="s">
        <v>20</v>
      </c>
      <c r="M14" s="2"/>
      <c r="N14" s="2"/>
      <c r="O14" s="5" t="s">
        <v>14</v>
      </c>
      <c r="P14" s="2" t="s">
        <v>173</v>
      </c>
    </row>
    <row r="15" spans="2:16" ht="130.5" x14ac:dyDescent="0.35">
      <c r="B15" s="2" t="s">
        <v>63</v>
      </c>
      <c r="C15" s="2" t="s">
        <v>340</v>
      </c>
      <c r="D15" s="2" t="s">
        <v>341</v>
      </c>
      <c r="E15" s="2" t="s">
        <v>57</v>
      </c>
      <c r="F15" s="2" t="s">
        <v>81</v>
      </c>
      <c r="G15" s="2" t="s">
        <v>46</v>
      </c>
      <c r="H15" s="2" t="s">
        <v>129</v>
      </c>
      <c r="I15" s="4">
        <v>4</v>
      </c>
      <c r="J15" s="4" t="s">
        <v>345</v>
      </c>
      <c r="K15" s="2" t="s">
        <v>32</v>
      </c>
      <c r="L15" s="2" t="s">
        <v>30</v>
      </c>
      <c r="M15" s="2" t="s">
        <v>42</v>
      </c>
      <c r="N15" s="2"/>
      <c r="O15" s="5" t="s">
        <v>40</v>
      </c>
      <c r="P15" s="2" t="s">
        <v>346</v>
      </c>
    </row>
    <row r="16" spans="2:16" ht="232" x14ac:dyDescent="0.35">
      <c r="B16" s="2" t="s">
        <v>63</v>
      </c>
      <c r="C16" s="2" t="s">
        <v>347</v>
      </c>
      <c r="D16" s="2" t="s">
        <v>348</v>
      </c>
      <c r="E16" s="2" t="s">
        <v>57</v>
      </c>
      <c r="F16" s="2" t="s">
        <v>81</v>
      </c>
      <c r="G16" s="2" t="s">
        <v>46</v>
      </c>
      <c r="H16" s="2" t="s">
        <v>107</v>
      </c>
      <c r="I16" s="4">
        <v>5</v>
      </c>
      <c r="J16" s="4" t="s">
        <v>349</v>
      </c>
      <c r="K16" s="2" t="s">
        <v>28</v>
      </c>
      <c r="L16" s="2" t="s">
        <v>21</v>
      </c>
      <c r="M16" s="2"/>
      <c r="N16" s="2"/>
      <c r="O16" s="18" t="s">
        <v>17</v>
      </c>
      <c r="P16" s="2"/>
    </row>
    <row r="17" spans="2:16" ht="89.5" customHeight="1" x14ac:dyDescent="0.35">
      <c r="B17" s="13" t="s">
        <v>63</v>
      </c>
      <c r="C17" s="13" t="s">
        <v>347</v>
      </c>
      <c r="D17" s="13" t="s">
        <v>348</v>
      </c>
      <c r="E17" s="13" t="s">
        <v>57</v>
      </c>
      <c r="F17" s="13" t="s">
        <v>81</v>
      </c>
      <c r="G17" s="13" t="s">
        <v>350</v>
      </c>
      <c r="H17" s="13" t="s">
        <v>88</v>
      </c>
      <c r="I17" s="14">
        <v>2</v>
      </c>
      <c r="J17" s="14" t="s">
        <v>351</v>
      </c>
      <c r="K17" s="13" t="s">
        <v>15</v>
      </c>
      <c r="L17" s="13" t="s">
        <v>22</v>
      </c>
      <c r="M17" s="13"/>
      <c r="N17" s="13"/>
      <c r="O17" s="13" t="s">
        <v>27</v>
      </c>
      <c r="P17" s="13"/>
    </row>
  </sheetData>
  <autoFilter ref="B2:P17" xr:uid="{72F956DD-C713-498D-A4DF-0463884F78AE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8BF6D5-F282-4A04-BB79-C0529AA89754}">
  <dimension ref="B2:P16"/>
  <sheetViews>
    <sheetView showGridLines="0" workbookViewId="0">
      <selection activeCell="K9" sqref="K9"/>
    </sheetView>
  </sheetViews>
  <sheetFormatPr baseColWidth="10" defaultColWidth="9" defaultRowHeight="15" customHeight="1" x14ac:dyDescent="0.35"/>
  <sheetData>
    <row r="2" spans="2:16" ht="43.5" x14ac:dyDescent="0.35">
      <c r="B2" s="1" t="s">
        <v>44</v>
      </c>
      <c r="C2" s="1" t="s">
        <v>66</v>
      </c>
      <c r="D2" s="1" t="s">
        <v>67</v>
      </c>
      <c r="E2" s="1" t="s">
        <v>45</v>
      </c>
      <c r="F2" s="1" t="s">
        <v>68</v>
      </c>
      <c r="G2" s="1" t="s">
        <v>69</v>
      </c>
      <c r="H2" s="1" t="s">
        <v>138</v>
      </c>
      <c r="I2" s="3" t="s">
        <v>71</v>
      </c>
      <c r="J2" s="3" t="s">
        <v>72</v>
      </c>
      <c r="K2" s="1" t="s">
        <v>73</v>
      </c>
      <c r="L2" s="1" t="s">
        <v>74</v>
      </c>
      <c r="M2" s="1" t="s">
        <v>75</v>
      </c>
      <c r="N2" s="1" t="s">
        <v>76</v>
      </c>
      <c r="O2" s="1" t="s">
        <v>77</v>
      </c>
      <c r="P2" s="1" t="s">
        <v>78</v>
      </c>
    </row>
    <row r="3" spans="2:16" ht="203" x14ac:dyDescent="0.35">
      <c r="B3" s="6" t="s">
        <v>64</v>
      </c>
      <c r="C3" s="6" t="s">
        <v>352</v>
      </c>
      <c r="D3" s="6" t="s">
        <v>353</v>
      </c>
      <c r="E3" s="6" t="s">
        <v>56</v>
      </c>
      <c r="F3" s="6" t="s">
        <v>81</v>
      </c>
      <c r="G3" s="6" t="s">
        <v>46</v>
      </c>
      <c r="H3" s="6" t="s">
        <v>149</v>
      </c>
      <c r="I3" s="7">
        <v>4</v>
      </c>
      <c r="J3" s="7" t="s">
        <v>354</v>
      </c>
      <c r="K3" s="6" t="s">
        <v>18</v>
      </c>
      <c r="L3" s="6" t="s">
        <v>16</v>
      </c>
      <c r="M3" s="6"/>
      <c r="N3" s="6"/>
      <c r="O3" s="6"/>
      <c r="P3" s="6" t="s">
        <v>355</v>
      </c>
    </row>
    <row r="4" spans="2:16" ht="203" x14ac:dyDescent="0.35">
      <c r="B4" s="2" t="s">
        <v>64</v>
      </c>
      <c r="C4" s="2" t="s">
        <v>352</v>
      </c>
      <c r="D4" s="2" t="s">
        <v>353</v>
      </c>
      <c r="E4" s="2" t="s">
        <v>57</v>
      </c>
      <c r="F4" s="2" t="s">
        <v>81</v>
      </c>
      <c r="G4" s="2" t="s">
        <v>46</v>
      </c>
      <c r="H4" s="2" t="s">
        <v>129</v>
      </c>
      <c r="I4" s="4">
        <v>5</v>
      </c>
      <c r="J4" s="4" t="s">
        <v>356</v>
      </c>
      <c r="K4" s="2" t="s">
        <v>26</v>
      </c>
      <c r="L4" s="2" t="s">
        <v>14</v>
      </c>
      <c r="M4" s="2" t="s">
        <v>42</v>
      </c>
      <c r="N4" s="2"/>
      <c r="O4" s="5" t="s">
        <v>17</v>
      </c>
      <c r="P4" s="2" t="s">
        <v>82</v>
      </c>
    </row>
    <row r="5" spans="2:16" ht="188.5" x14ac:dyDescent="0.35">
      <c r="B5" s="2" t="s">
        <v>64</v>
      </c>
      <c r="C5" s="2" t="s">
        <v>352</v>
      </c>
      <c r="D5" s="2" t="s">
        <v>353</v>
      </c>
      <c r="E5" s="2" t="s">
        <v>57</v>
      </c>
      <c r="F5" s="2" t="s">
        <v>81</v>
      </c>
      <c r="G5" s="2" t="s">
        <v>46</v>
      </c>
      <c r="H5" s="2" t="s">
        <v>88</v>
      </c>
      <c r="I5" s="4">
        <v>5</v>
      </c>
      <c r="J5" s="4" t="s">
        <v>357</v>
      </c>
      <c r="K5" s="2" t="s">
        <v>37</v>
      </c>
      <c r="L5" s="2" t="s">
        <v>36</v>
      </c>
      <c r="M5" s="2"/>
      <c r="N5" s="2"/>
      <c r="O5" s="5" t="s">
        <v>10</v>
      </c>
      <c r="P5" s="2" t="s">
        <v>82</v>
      </c>
    </row>
    <row r="6" spans="2:16" ht="145" x14ac:dyDescent="0.35">
      <c r="B6" s="6" t="s">
        <v>64</v>
      </c>
      <c r="C6" s="6" t="s">
        <v>358</v>
      </c>
      <c r="D6" s="6" t="s">
        <v>359</v>
      </c>
      <c r="E6" s="6" t="s">
        <v>56</v>
      </c>
      <c r="F6" s="6" t="s">
        <v>81</v>
      </c>
      <c r="G6" s="6" t="s">
        <v>46</v>
      </c>
      <c r="H6" s="6" t="s">
        <v>86</v>
      </c>
      <c r="I6" s="7">
        <v>4</v>
      </c>
      <c r="J6" s="38" t="s">
        <v>360</v>
      </c>
      <c r="K6" s="6" t="s">
        <v>31</v>
      </c>
      <c r="L6" s="6" t="s">
        <v>19</v>
      </c>
      <c r="M6" s="6"/>
      <c r="N6" s="6"/>
      <c r="O6" s="6" t="s">
        <v>16</v>
      </c>
      <c r="P6" s="6" t="s">
        <v>361</v>
      </c>
    </row>
    <row r="7" spans="2:16" ht="159.5" x14ac:dyDescent="0.35">
      <c r="B7" s="2" t="s">
        <v>64</v>
      </c>
      <c r="C7" s="2" t="s">
        <v>358</v>
      </c>
      <c r="D7" s="2" t="s">
        <v>359</v>
      </c>
      <c r="E7" s="2" t="s">
        <v>57</v>
      </c>
      <c r="F7" s="2" t="s">
        <v>81</v>
      </c>
      <c r="G7" s="2" t="s">
        <v>47</v>
      </c>
      <c r="H7" s="2" t="s">
        <v>88</v>
      </c>
      <c r="I7" s="4">
        <v>5</v>
      </c>
      <c r="J7" s="4" t="s">
        <v>362</v>
      </c>
      <c r="K7" s="2" t="s">
        <v>10</v>
      </c>
      <c r="L7" s="2" t="s">
        <v>24</v>
      </c>
      <c r="M7" s="2"/>
      <c r="N7" s="2"/>
      <c r="O7" s="2" t="s">
        <v>27</v>
      </c>
      <c r="P7" s="2" t="s">
        <v>82</v>
      </c>
    </row>
    <row r="8" spans="2:16" ht="29" x14ac:dyDescent="0.35">
      <c r="B8" s="2" t="s">
        <v>64</v>
      </c>
      <c r="C8" s="2" t="s">
        <v>358</v>
      </c>
      <c r="D8" s="2" t="s">
        <v>359</v>
      </c>
      <c r="E8" s="2" t="s">
        <v>57</v>
      </c>
      <c r="F8" s="2" t="s">
        <v>81</v>
      </c>
      <c r="G8" s="2" t="s">
        <v>46</v>
      </c>
      <c r="H8" s="2" t="s">
        <v>88</v>
      </c>
      <c r="I8" s="4">
        <v>0</v>
      </c>
      <c r="J8" s="4" t="s">
        <v>363</v>
      </c>
      <c r="K8" s="2"/>
      <c r="L8" s="2"/>
      <c r="M8" s="2"/>
      <c r="N8" s="2"/>
      <c r="O8" s="2" t="s">
        <v>29</v>
      </c>
      <c r="P8" s="2" t="s">
        <v>82</v>
      </c>
    </row>
    <row r="9" spans="2:16" ht="29" x14ac:dyDescent="0.35">
      <c r="B9" s="6" t="s">
        <v>64</v>
      </c>
      <c r="C9" s="6" t="s">
        <v>364</v>
      </c>
      <c r="D9" s="6" t="s">
        <v>365</v>
      </c>
      <c r="E9" s="6" t="s">
        <v>56</v>
      </c>
      <c r="F9" s="6" t="s">
        <v>81</v>
      </c>
      <c r="G9" s="6" t="s">
        <v>46</v>
      </c>
      <c r="H9" s="6"/>
      <c r="I9" s="7" t="s">
        <v>141</v>
      </c>
      <c r="J9" s="7"/>
      <c r="K9" s="7"/>
      <c r="L9" s="7"/>
      <c r="M9" s="6"/>
      <c r="N9" s="6"/>
      <c r="O9" s="6"/>
      <c r="P9" s="6" t="s">
        <v>87</v>
      </c>
    </row>
    <row r="10" spans="2:16" ht="29" x14ac:dyDescent="0.35">
      <c r="B10" s="2" t="s">
        <v>64</v>
      </c>
      <c r="C10" s="2" t="s">
        <v>364</v>
      </c>
      <c r="D10" s="2" t="s">
        <v>365</v>
      </c>
      <c r="E10" s="2" t="s">
        <v>57</v>
      </c>
      <c r="F10" s="2" t="s">
        <v>81</v>
      </c>
      <c r="G10" s="2" t="s">
        <v>46</v>
      </c>
      <c r="H10" s="2"/>
      <c r="I10" s="4">
        <v>0</v>
      </c>
      <c r="J10" s="4"/>
      <c r="K10" s="2"/>
      <c r="L10" s="2"/>
      <c r="M10" s="2"/>
      <c r="N10" s="2"/>
      <c r="O10" s="5" t="s">
        <v>25</v>
      </c>
      <c r="P10" s="2" t="s">
        <v>82</v>
      </c>
    </row>
    <row r="11" spans="2:16" ht="29" x14ac:dyDescent="0.35">
      <c r="B11" s="2" t="s">
        <v>64</v>
      </c>
      <c r="C11" s="2" t="s">
        <v>364</v>
      </c>
      <c r="D11" s="2" t="s">
        <v>365</v>
      </c>
      <c r="E11" s="2" t="s">
        <v>57</v>
      </c>
      <c r="F11" s="2" t="s">
        <v>81</v>
      </c>
      <c r="G11" s="2" t="s">
        <v>46</v>
      </c>
      <c r="H11" s="2"/>
      <c r="I11" s="4">
        <v>0</v>
      </c>
      <c r="J11" s="4"/>
      <c r="K11" s="2"/>
      <c r="L11" s="2"/>
      <c r="M11" s="2"/>
      <c r="N11" s="2"/>
      <c r="O11" s="5" t="s">
        <v>17</v>
      </c>
      <c r="P11" s="2" t="s">
        <v>82</v>
      </c>
    </row>
    <row r="12" spans="2:16" ht="43.5" x14ac:dyDescent="0.35">
      <c r="B12" s="6" t="s">
        <v>64</v>
      </c>
      <c r="C12" s="6" t="s">
        <v>366</v>
      </c>
      <c r="D12" s="6" t="s">
        <v>367</v>
      </c>
      <c r="E12" s="6" t="s">
        <v>56</v>
      </c>
      <c r="F12" s="6" t="s">
        <v>81</v>
      </c>
      <c r="G12" s="6" t="s">
        <v>46</v>
      </c>
      <c r="H12" s="6"/>
      <c r="I12" s="7" t="s">
        <v>141</v>
      </c>
      <c r="J12" s="7"/>
      <c r="K12" s="7"/>
      <c r="L12" s="7"/>
      <c r="M12" s="6"/>
      <c r="N12" s="6"/>
      <c r="O12" s="6"/>
      <c r="P12" s="6" t="s">
        <v>368</v>
      </c>
    </row>
    <row r="13" spans="2:16" ht="43.5" x14ac:dyDescent="0.35">
      <c r="B13" s="2" t="s">
        <v>64</v>
      </c>
      <c r="C13" s="2" t="s">
        <v>366</v>
      </c>
      <c r="D13" s="2" t="s">
        <v>367</v>
      </c>
      <c r="E13" s="2" t="s">
        <v>57</v>
      </c>
      <c r="F13" s="2" t="s">
        <v>81</v>
      </c>
      <c r="G13" s="2" t="s">
        <v>46</v>
      </c>
      <c r="H13" s="2"/>
      <c r="I13" s="4">
        <v>0</v>
      </c>
      <c r="J13" s="4"/>
      <c r="K13" s="2"/>
      <c r="L13" s="2"/>
      <c r="M13" s="2"/>
      <c r="N13" s="2"/>
      <c r="O13" s="11"/>
      <c r="P13" s="2" t="s">
        <v>173</v>
      </c>
    </row>
    <row r="14" spans="2:16" ht="29" x14ac:dyDescent="0.35">
      <c r="B14" s="2" t="s">
        <v>64</v>
      </c>
      <c r="C14" s="2" t="s">
        <v>366</v>
      </c>
      <c r="D14" s="2" t="s">
        <v>367</v>
      </c>
      <c r="E14" s="2" t="s">
        <v>57</v>
      </c>
      <c r="F14" s="2" t="s">
        <v>81</v>
      </c>
      <c r="G14" s="2" t="s">
        <v>46</v>
      </c>
      <c r="H14" s="2"/>
      <c r="I14" s="4">
        <v>0</v>
      </c>
      <c r="J14" s="4"/>
      <c r="K14" s="2"/>
      <c r="L14" s="2"/>
      <c r="M14" s="2"/>
      <c r="N14" s="2"/>
      <c r="O14" s="2" t="s">
        <v>22</v>
      </c>
      <c r="P14" s="2" t="s">
        <v>369</v>
      </c>
    </row>
    <row r="15" spans="2:16" ht="29" x14ac:dyDescent="0.35">
      <c r="B15" s="2" t="s">
        <v>64</v>
      </c>
      <c r="C15" s="2" t="s">
        <v>366</v>
      </c>
      <c r="D15" s="2" t="s">
        <v>367</v>
      </c>
      <c r="E15" s="2" t="s">
        <v>57</v>
      </c>
      <c r="F15" s="2" t="s">
        <v>81</v>
      </c>
      <c r="G15" s="2" t="s">
        <v>46</v>
      </c>
      <c r="H15" s="2"/>
      <c r="I15" s="4">
        <v>0</v>
      </c>
      <c r="J15" s="4"/>
      <c r="K15" s="2"/>
      <c r="L15" s="2"/>
      <c r="M15" s="2"/>
      <c r="N15" s="2"/>
      <c r="O15" s="2" t="s">
        <v>23</v>
      </c>
      <c r="P15" s="2"/>
    </row>
    <row r="16" spans="2:16" ht="43.5" x14ac:dyDescent="0.35">
      <c r="B16" s="2" t="s">
        <v>64</v>
      </c>
      <c r="C16" s="2" t="s">
        <v>366</v>
      </c>
      <c r="D16" s="2" t="s">
        <v>367</v>
      </c>
      <c r="E16" s="2" t="s">
        <v>57</v>
      </c>
      <c r="F16" s="2" t="s">
        <v>81</v>
      </c>
      <c r="G16" s="2" t="s">
        <v>46</v>
      </c>
      <c r="H16" s="2"/>
      <c r="I16" s="4">
        <v>0</v>
      </c>
      <c r="J16" s="4"/>
      <c r="K16" s="2"/>
      <c r="L16" s="2"/>
      <c r="M16" s="2"/>
      <c r="N16" s="2"/>
      <c r="O16" s="2" t="s">
        <v>30</v>
      </c>
      <c r="P16" s="2" t="s">
        <v>370</v>
      </c>
    </row>
  </sheetData>
  <autoFilter ref="B2:P16" xr:uid="{EC8BF6D5-F282-4A04-BB79-C0529AA89754}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3E00A-E787-4345-8E3F-D48A9BE939E7}">
  <dimension ref="B2:N18"/>
  <sheetViews>
    <sheetView showGridLines="0" zoomScale="120" zoomScaleNormal="120" workbookViewId="0">
      <selection activeCell="K9" sqref="K9"/>
    </sheetView>
  </sheetViews>
  <sheetFormatPr baseColWidth="10" defaultColWidth="9" defaultRowHeight="14.5" x14ac:dyDescent="0.35"/>
  <sheetData>
    <row r="2" spans="2:14" ht="43.5" x14ac:dyDescent="0.35">
      <c r="B2" s="1" t="s">
        <v>44</v>
      </c>
      <c r="C2" s="1" t="s">
        <v>66</v>
      </c>
      <c r="D2" s="1" t="s">
        <v>67</v>
      </c>
      <c r="E2" s="1" t="s">
        <v>45</v>
      </c>
      <c r="F2" s="1" t="s">
        <v>68</v>
      </c>
      <c r="G2" s="1" t="s">
        <v>69</v>
      </c>
      <c r="H2" s="3" t="s">
        <v>71</v>
      </c>
      <c r="I2" s="1" t="s">
        <v>73</v>
      </c>
      <c r="J2" s="1" t="s">
        <v>74</v>
      </c>
      <c r="K2" s="1" t="s">
        <v>75</v>
      </c>
      <c r="L2" s="1" t="s">
        <v>76</v>
      </c>
      <c r="M2" s="1" t="s">
        <v>77</v>
      </c>
      <c r="N2" s="1" t="s">
        <v>78</v>
      </c>
    </row>
    <row r="3" spans="2:14" ht="58" x14ac:dyDescent="0.35">
      <c r="B3" s="6" t="s">
        <v>65</v>
      </c>
      <c r="C3" s="6" t="s">
        <v>371</v>
      </c>
      <c r="D3" s="6" t="s">
        <v>372</v>
      </c>
      <c r="E3" s="6" t="s">
        <v>56</v>
      </c>
      <c r="F3" s="6" t="s">
        <v>81</v>
      </c>
      <c r="G3" s="6" t="s">
        <v>46</v>
      </c>
      <c r="H3" s="7" t="s">
        <v>141</v>
      </c>
      <c r="I3" s="7" t="s">
        <v>141</v>
      </c>
      <c r="J3" s="7" t="s">
        <v>141</v>
      </c>
      <c r="K3" s="6"/>
      <c r="L3" s="6"/>
      <c r="M3" s="23" t="s">
        <v>18</v>
      </c>
      <c r="N3" s="6" t="s">
        <v>373</v>
      </c>
    </row>
    <row r="4" spans="2:14" ht="29" x14ac:dyDescent="0.35">
      <c r="B4" s="2" t="s">
        <v>65</v>
      </c>
      <c r="C4" s="2" t="s">
        <v>371</v>
      </c>
      <c r="D4" s="2" t="s">
        <v>372</v>
      </c>
      <c r="E4" s="2" t="s">
        <v>57</v>
      </c>
      <c r="F4" s="2" t="s">
        <v>81</v>
      </c>
      <c r="G4" s="2" t="s">
        <v>46</v>
      </c>
      <c r="H4" s="4" t="s">
        <v>141</v>
      </c>
      <c r="I4" s="4" t="s">
        <v>141</v>
      </c>
      <c r="J4" s="4" t="s">
        <v>141</v>
      </c>
      <c r="K4" s="2"/>
      <c r="L4" s="2"/>
      <c r="M4" s="5" t="s">
        <v>38</v>
      </c>
      <c r="N4" s="2" t="s">
        <v>82</v>
      </c>
    </row>
    <row r="5" spans="2:14" ht="29" x14ac:dyDescent="0.35">
      <c r="B5" s="2" t="s">
        <v>65</v>
      </c>
      <c r="C5" s="2" t="s">
        <v>371</v>
      </c>
      <c r="D5" s="2" t="s">
        <v>372</v>
      </c>
      <c r="E5" s="2" t="s">
        <v>57</v>
      </c>
      <c r="F5" s="2" t="s">
        <v>81</v>
      </c>
      <c r="G5" s="2" t="s">
        <v>46</v>
      </c>
      <c r="H5" s="4" t="s">
        <v>141</v>
      </c>
      <c r="I5" s="4" t="s">
        <v>141</v>
      </c>
      <c r="J5" s="4" t="s">
        <v>141</v>
      </c>
      <c r="K5" s="2"/>
      <c r="L5" s="2"/>
      <c r="M5" s="5" t="s">
        <v>25</v>
      </c>
      <c r="N5" s="2" t="s">
        <v>82</v>
      </c>
    </row>
    <row r="6" spans="2:14" ht="29" x14ac:dyDescent="0.35">
      <c r="B6" s="6" t="s">
        <v>65</v>
      </c>
      <c r="C6" s="6" t="s">
        <v>374</v>
      </c>
      <c r="D6" s="6" t="s">
        <v>375</v>
      </c>
      <c r="E6" s="6" t="s">
        <v>56</v>
      </c>
      <c r="F6" s="6" t="s">
        <v>81</v>
      </c>
      <c r="G6" s="6" t="s">
        <v>46</v>
      </c>
      <c r="H6" s="7" t="s">
        <v>141</v>
      </c>
      <c r="I6" s="7" t="s">
        <v>141</v>
      </c>
      <c r="J6" s="7" t="s">
        <v>141</v>
      </c>
      <c r="K6" s="6"/>
      <c r="L6" s="6"/>
      <c r="M6" s="6" t="s">
        <v>16</v>
      </c>
      <c r="N6" s="6" t="s">
        <v>87</v>
      </c>
    </row>
    <row r="7" spans="2:14" ht="58" x14ac:dyDescent="0.35">
      <c r="B7" s="2" t="s">
        <v>65</v>
      </c>
      <c r="C7" s="2" t="s">
        <v>374</v>
      </c>
      <c r="D7" s="2" t="s">
        <v>375</v>
      </c>
      <c r="E7" s="2" t="s">
        <v>57</v>
      </c>
      <c r="F7" s="2" t="s">
        <v>81</v>
      </c>
      <c r="G7" s="2" t="s">
        <v>46</v>
      </c>
      <c r="H7" s="4" t="s">
        <v>141</v>
      </c>
      <c r="I7" s="4" t="s">
        <v>141</v>
      </c>
      <c r="J7" s="4" t="s">
        <v>141</v>
      </c>
      <c r="K7" s="2"/>
      <c r="L7" s="2"/>
      <c r="M7" s="2" t="s">
        <v>22</v>
      </c>
      <c r="N7" s="2" t="s">
        <v>376</v>
      </c>
    </row>
    <row r="8" spans="2:14" ht="29" x14ac:dyDescent="0.35">
      <c r="B8" s="2" t="s">
        <v>65</v>
      </c>
      <c r="C8" s="2" t="s">
        <v>374</v>
      </c>
      <c r="D8" s="2" t="s">
        <v>375</v>
      </c>
      <c r="E8" s="2" t="s">
        <v>57</v>
      </c>
      <c r="F8" s="2" t="s">
        <v>81</v>
      </c>
      <c r="G8" s="2" t="s">
        <v>46</v>
      </c>
      <c r="H8" s="4" t="s">
        <v>141</v>
      </c>
      <c r="I8" s="4" t="s">
        <v>141</v>
      </c>
      <c r="J8" s="4" t="s">
        <v>141</v>
      </c>
      <c r="K8" s="2"/>
      <c r="L8" s="2"/>
      <c r="M8" s="2" t="s">
        <v>23</v>
      </c>
      <c r="N8" s="2" t="s">
        <v>82</v>
      </c>
    </row>
    <row r="9" spans="2:14" ht="72.5" x14ac:dyDescent="0.35">
      <c r="B9" s="6" t="s">
        <v>65</v>
      </c>
      <c r="C9" s="6" t="s">
        <v>377</v>
      </c>
      <c r="D9" s="6" t="s">
        <v>378</v>
      </c>
      <c r="E9" s="6" t="s">
        <v>56</v>
      </c>
      <c r="F9" s="6" t="s">
        <v>81</v>
      </c>
      <c r="G9" s="6" t="s">
        <v>46</v>
      </c>
      <c r="H9" s="7" t="s">
        <v>141</v>
      </c>
      <c r="I9" s="7" t="s">
        <v>141</v>
      </c>
      <c r="J9" s="7" t="s">
        <v>141</v>
      </c>
      <c r="K9" s="6"/>
      <c r="L9" s="6"/>
      <c r="M9" s="23" t="s">
        <v>39</v>
      </c>
      <c r="N9" s="6" t="s">
        <v>379</v>
      </c>
    </row>
    <row r="10" spans="2:14" ht="58" x14ac:dyDescent="0.35">
      <c r="B10" s="2" t="s">
        <v>65</v>
      </c>
      <c r="C10" s="2" t="s">
        <v>377</v>
      </c>
      <c r="D10" s="2" t="s">
        <v>378</v>
      </c>
      <c r="E10" s="2" t="s">
        <v>57</v>
      </c>
      <c r="F10" s="2" t="s">
        <v>81</v>
      </c>
      <c r="G10" s="2" t="s">
        <v>46</v>
      </c>
      <c r="H10" s="4" t="s">
        <v>141</v>
      </c>
      <c r="I10" s="4" t="s">
        <v>141</v>
      </c>
      <c r="J10" s="4" t="s">
        <v>141</v>
      </c>
      <c r="K10" s="2"/>
      <c r="L10" s="2"/>
      <c r="M10" s="5" t="s">
        <v>25</v>
      </c>
      <c r="N10" s="2" t="s">
        <v>380</v>
      </c>
    </row>
    <row r="11" spans="2:14" ht="58" x14ac:dyDescent="0.35">
      <c r="B11" s="2" t="s">
        <v>65</v>
      </c>
      <c r="C11" s="2" t="s">
        <v>377</v>
      </c>
      <c r="D11" s="2" t="s">
        <v>378</v>
      </c>
      <c r="E11" s="2" t="s">
        <v>57</v>
      </c>
      <c r="F11" s="2" t="s">
        <v>81</v>
      </c>
      <c r="G11" s="2" t="s">
        <v>46</v>
      </c>
      <c r="H11" s="4" t="s">
        <v>141</v>
      </c>
      <c r="I11" s="4" t="s">
        <v>141</v>
      </c>
      <c r="J11" s="4" t="s">
        <v>141</v>
      </c>
      <c r="K11" s="2"/>
      <c r="L11" s="2"/>
      <c r="M11" s="5" t="s">
        <v>29</v>
      </c>
      <c r="N11" s="2" t="s">
        <v>380</v>
      </c>
    </row>
    <row r="12" spans="2:14" ht="87" x14ac:dyDescent="0.35">
      <c r="B12" s="6" t="s">
        <v>65</v>
      </c>
      <c r="C12" s="6" t="s">
        <v>381</v>
      </c>
      <c r="D12" s="6" t="s">
        <v>382</v>
      </c>
      <c r="E12" s="6" t="s">
        <v>56</v>
      </c>
      <c r="F12" s="6" t="s">
        <v>81</v>
      </c>
      <c r="G12" s="6" t="s">
        <v>46</v>
      </c>
      <c r="H12" s="7" t="s">
        <v>141</v>
      </c>
      <c r="I12" s="7" t="s">
        <v>141</v>
      </c>
      <c r="J12" s="7" t="s">
        <v>141</v>
      </c>
      <c r="K12" s="6"/>
      <c r="L12" s="6"/>
      <c r="M12" s="6" t="s">
        <v>18</v>
      </c>
      <c r="N12" s="6" t="s">
        <v>383</v>
      </c>
    </row>
    <row r="13" spans="2:14" ht="87" x14ac:dyDescent="0.35">
      <c r="B13" s="2" t="s">
        <v>65</v>
      </c>
      <c r="C13" s="2" t="s">
        <v>381</v>
      </c>
      <c r="D13" s="2" t="s">
        <v>382</v>
      </c>
      <c r="E13" s="2" t="s">
        <v>57</v>
      </c>
      <c r="F13" s="2" t="s">
        <v>81</v>
      </c>
      <c r="G13" s="2" t="s">
        <v>46</v>
      </c>
      <c r="H13" s="4" t="s">
        <v>141</v>
      </c>
      <c r="I13" s="4" t="s">
        <v>141</v>
      </c>
      <c r="J13" s="4" t="s">
        <v>141</v>
      </c>
      <c r="K13" s="2"/>
      <c r="L13" s="2"/>
      <c r="M13" s="2" t="s">
        <v>24</v>
      </c>
      <c r="N13" s="2" t="s">
        <v>383</v>
      </c>
    </row>
    <row r="14" spans="2:14" ht="43.5" x14ac:dyDescent="0.35">
      <c r="B14" s="2" t="s">
        <v>65</v>
      </c>
      <c r="C14" s="2" t="s">
        <v>381</v>
      </c>
      <c r="D14" s="2" t="s">
        <v>382</v>
      </c>
      <c r="E14" s="2" t="s">
        <v>57</v>
      </c>
      <c r="F14" s="2" t="s">
        <v>81</v>
      </c>
      <c r="G14" s="2" t="s">
        <v>46</v>
      </c>
      <c r="H14" s="4" t="s">
        <v>141</v>
      </c>
      <c r="I14" s="4" t="s">
        <v>141</v>
      </c>
      <c r="J14" s="4" t="s">
        <v>141</v>
      </c>
      <c r="K14" s="2"/>
      <c r="L14" s="2"/>
      <c r="M14" s="2" t="s">
        <v>26</v>
      </c>
      <c r="N14" s="2" t="s">
        <v>384</v>
      </c>
    </row>
    <row r="15" spans="2:14" ht="43.5" x14ac:dyDescent="0.35">
      <c r="B15" s="2" t="s">
        <v>65</v>
      </c>
      <c r="C15" s="2" t="s">
        <v>381</v>
      </c>
      <c r="D15" s="2" t="s">
        <v>382</v>
      </c>
      <c r="E15" s="2" t="s">
        <v>57</v>
      </c>
      <c r="F15" s="2" t="s">
        <v>81</v>
      </c>
      <c r="G15" s="2" t="s">
        <v>46</v>
      </c>
      <c r="H15" s="4" t="s">
        <v>141</v>
      </c>
      <c r="I15" s="4" t="s">
        <v>141</v>
      </c>
      <c r="J15" s="4" t="s">
        <v>141</v>
      </c>
      <c r="K15" s="2"/>
      <c r="L15" s="2"/>
      <c r="M15" s="2" t="s">
        <v>20</v>
      </c>
      <c r="N15" s="2" t="s">
        <v>384</v>
      </c>
    </row>
    <row r="16" spans="2:14" ht="58" x14ac:dyDescent="0.35">
      <c r="B16" s="6" t="s">
        <v>65</v>
      </c>
      <c r="C16" s="6" t="s">
        <v>385</v>
      </c>
      <c r="D16" s="6" t="s">
        <v>386</v>
      </c>
      <c r="E16" s="6" t="s">
        <v>56</v>
      </c>
      <c r="F16" s="6" t="s">
        <v>81</v>
      </c>
      <c r="G16" s="6" t="s">
        <v>46</v>
      </c>
      <c r="H16" s="7" t="s">
        <v>141</v>
      </c>
      <c r="I16" s="7" t="s">
        <v>141</v>
      </c>
      <c r="J16" s="7" t="s">
        <v>141</v>
      </c>
      <c r="K16" s="6"/>
      <c r="L16" s="6"/>
      <c r="M16" s="23" t="s">
        <v>39</v>
      </c>
      <c r="N16" s="6" t="s">
        <v>387</v>
      </c>
    </row>
    <row r="17" spans="2:14" ht="43.5" x14ac:dyDescent="0.35">
      <c r="B17" s="2" t="s">
        <v>65</v>
      </c>
      <c r="C17" s="2" t="s">
        <v>385</v>
      </c>
      <c r="D17" s="2" t="s">
        <v>386</v>
      </c>
      <c r="E17" s="2" t="s">
        <v>57</v>
      </c>
      <c r="F17" s="2" t="s">
        <v>81</v>
      </c>
      <c r="G17" s="2" t="s">
        <v>46</v>
      </c>
      <c r="H17" s="4" t="s">
        <v>141</v>
      </c>
      <c r="I17" s="4" t="s">
        <v>141</v>
      </c>
      <c r="J17" s="4" t="s">
        <v>141</v>
      </c>
      <c r="K17" s="2"/>
      <c r="L17" s="2"/>
      <c r="M17" s="5" t="s">
        <v>24</v>
      </c>
      <c r="N17" s="2" t="s">
        <v>388</v>
      </c>
    </row>
    <row r="18" spans="2:14" ht="29" x14ac:dyDescent="0.35">
      <c r="B18" s="2" t="s">
        <v>65</v>
      </c>
      <c r="C18" s="2" t="s">
        <v>385</v>
      </c>
      <c r="D18" s="2" t="s">
        <v>386</v>
      </c>
      <c r="E18" s="2" t="s">
        <v>57</v>
      </c>
      <c r="F18" s="2" t="s">
        <v>81</v>
      </c>
      <c r="G18" s="2" t="s">
        <v>46</v>
      </c>
      <c r="H18" s="4" t="s">
        <v>141</v>
      </c>
      <c r="I18" s="4" t="s">
        <v>141</v>
      </c>
      <c r="J18" s="4" t="s">
        <v>141</v>
      </c>
      <c r="K18" s="2"/>
      <c r="L18" s="2"/>
      <c r="M18" s="5" t="s">
        <v>23</v>
      </c>
      <c r="N18" s="2"/>
    </row>
  </sheetData>
  <autoFilter ref="B2:N18" xr:uid="{7AE3E00A-E787-4345-8E3F-D48A9BE939E7}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F95C-2DD8-49BB-B525-A02DA9E3EC92}">
  <dimension ref="B2:J53"/>
  <sheetViews>
    <sheetView showGridLines="0" workbookViewId="0">
      <selection activeCell="H7" sqref="H7"/>
    </sheetView>
  </sheetViews>
  <sheetFormatPr baseColWidth="10" defaultColWidth="9" defaultRowHeight="14.5" x14ac:dyDescent="0.35"/>
  <cols>
    <col min="2" max="2" width="11.7265625" customWidth="1"/>
    <col min="3" max="3" width="12.81640625" customWidth="1"/>
    <col min="4" max="4" width="12.26953125" customWidth="1"/>
    <col min="10" max="10" width="14.7265625" customWidth="1"/>
  </cols>
  <sheetData>
    <row r="2" spans="2:10" ht="29" x14ac:dyDescent="0.35">
      <c r="B2" s="1" t="s">
        <v>44</v>
      </c>
      <c r="C2" s="1" t="s">
        <v>389</v>
      </c>
      <c r="D2" s="1" t="s">
        <v>390</v>
      </c>
      <c r="E2" s="1" t="s">
        <v>0</v>
      </c>
      <c r="F2" s="1" t="s">
        <v>391</v>
      </c>
      <c r="G2" s="1" t="s">
        <v>392</v>
      </c>
      <c r="H2" s="1" t="s">
        <v>393</v>
      </c>
      <c r="I2" s="1" t="s">
        <v>394</v>
      </c>
      <c r="J2" s="1" t="s">
        <v>78</v>
      </c>
    </row>
    <row r="3" spans="2:10" ht="58" x14ac:dyDescent="0.35">
      <c r="B3" s="2" t="s">
        <v>55</v>
      </c>
      <c r="C3" s="12">
        <v>46085</v>
      </c>
      <c r="D3" s="12">
        <v>46269</v>
      </c>
      <c r="E3" s="2" t="s">
        <v>395</v>
      </c>
      <c r="F3" s="2" t="s">
        <v>16</v>
      </c>
      <c r="G3" s="2" t="s">
        <v>396</v>
      </c>
      <c r="H3" s="2" t="s">
        <v>397</v>
      </c>
      <c r="I3" s="2" t="s">
        <v>398</v>
      </c>
      <c r="J3" s="2" t="s">
        <v>399</v>
      </c>
    </row>
    <row r="4" spans="2:10" ht="58" x14ac:dyDescent="0.35">
      <c r="B4" s="2" t="s">
        <v>55</v>
      </c>
      <c r="C4" s="2" t="s">
        <v>400</v>
      </c>
      <c r="D4" s="12">
        <v>46117</v>
      </c>
      <c r="E4" s="2" t="s">
        <v>401</v>
      </c>
      <c r="F4" s="2" t="s">
        <v>25</v>
      </c>
      <c r="G4" s="2" t="s">
        <v>402</v>
      </c>
      <c r="H4" s="2" t="s">
        <v>57</v>
      </c>
      <c r="I4" s="2" t="s">
        <v>403</v>
      </c>
      <c r="J4" s="2" t="s">
        <v>404</v>
      </c>
    </row>
    <row r="5" spans="2:10" ht="58" x14ac:dyDescent="0.35">
      <c r="B5" s="2" t="s">
        <v>55</v>
      </c>
      <c r="C5" s="2" t="s">
        <v>400</v>
      </c>
      <c r="D5" s="12">
        <v>46117</v>
      </c>
      <c r="E5" s="2" t="s">
        <v>405</v>
      </c>
      <c r="F5" s="2" t="s">
        <v>21</v>
      </c>
      <c r="G5" s="2" t="s">
        <v>402</v>
      </c>
      <c r="H5" s="2" t="s">
        <v>57</v>
      </c>
      <c r="I5" s="2" t="s">
        <v>403</v>
      </c>
      <c r="J5" s="2" t="s">
        <v>404</v>
      </c>
    </row>
    <row r="6" spans="2:10" ht="87" x14ac:dyDescent="0.35">
      <c r="B6" s="2" t="s">
        <v>58</v>
      </c>
      <c r="C6" s="12">
        <v>46117</v>
      </c>
      <c r="D6" s="2" t="s">
        <v>406</v>
      </c>
      <c r="E6" s="2" t="s">
        <v>407</v>
      </c>
      <c r="F6" s="2" t="s">
        <v>29</v>
      </c>
      <c r="G6" s="2" t="s">
        <v>402</v>
      </c>
      <c r="H6" s="2" t="s">
        <v>57</v>
      </c>
      <c r="I6" s="2" t="s">
        <v>408</v>
      </c>
      <c r="J6" s="2" t="s">
        <v>409</v>
      </c>
    </row>
    <row r="7" spans="2:10" ht="72.5" x14ac:dyDescent="0.35">
      <c r="B7" s="2" t="s">
        <v>58</v>
      </c>
      <c r="C7" s="12">
        <v>46331</v>
      </c>
      <c r="D7" s="2" t="s">
        <v>410</v>
      </c>
      <c r="E7" s="2" t="s">
        <v>411</v>
      </c>
      <c r="F7" s="2" t="s">
        <v>22</v>
      </c>
      <c r="G7" s="2" t="s">
        <v>402</v>
      </c>
      <c r="H7" s="2" t="s">
        <v>57</v>
      </c>
      <c r="I7" s="2" t="s">
        <v>398</v>
      </c>
      <c r="J7" s="2" t="s">
        <v>412</v>
      </c>
    </row>
    <row r="8" spans="2:10" ht="29" x14ac:dyDescent="0.35">
      <c r="B8" s="2" t="s">
        <v>58</v>
      </c>
      <c r="C8" s="2" t="s">
        <v>413</v>
      </c>
      <c r="D8" s="2" t="s">
        <v>414</v>
      </c>
      <c r="E8" s="2" t="s">
        <v>415</v>
      </c>
      <c r="F8" s="2" t="s">
        <v>14</v>
      </c>
      <c r="G8" s="2" t="s">
        <v>402</v>
      </c>
      <c r="H8" s="2" t="s">
        <v>57</v>
      </c>
      <c r="I8" s="2" t="s">
        <v>416</v>
      </c>
      <c r="J8" s="2" t="s">
        <v>412</v>
      </c>
    </row>
    <row r="9" spans="2:10" ht="29" x14ac:dyDescent="0.35">
      <c r="B9" s="2" t="s">
        <v>58</v>
      </c>
      <c r="C9" s="2" t="s">
        <v>410</v>
      </c>
      <c r="D9" s="2" t="s">
        <v>417</v>
      </c>
      <c r="E9" s="2" t="s">
        <v>418</v>
      </c>
      <c r="F9" s="2" t="s">
        <v>26</v>
      </c>
      <c r="G9" s="2" t="s">
        <v>402</v>
      </c>
      <c r="H9" s="2" t="s">
        <v>57</v>
      </c>
      <c r="I9" s="2" t="s">
        <v>419</v>
      </c>
      <c r="J9" s="2" t="s">
        <v>412</v>
      </c>
    </row>
    <row r="10" spans="2:10" ht="58" x14ac:dyDescent="0.35">
      <c r="B10" s="2" t="s">
        <v>58</v>
      </c>
      <c r="C10" s="2" t="s">
        <v>410</v>
      </c>
      <c r="D10" s="2" t="s">
        <v>420</v>
      </c>
      <c r="E10" s="2" t="s">
        <v>421</v>
      </c>
      <c r="F10" s="2" t="s">
        <v>15</v>
      </c>
      <c r="G10" s="2" t="s">
        <v>402</v>
      </c>
      <c r="H10" s="2" t="s">
        <v>57</v>
      </c>
      <c r="I10" s="2" t="s">
        <v>422</v>
      </c>
      <c r="J10" s="2" t="s">
        <v>412</v>
      </c>
    </row>
    <row r="11" spans="2:10" ht="58" x14ac:dyDescent="0.35">
      <c r="B11" s="2" t="s">
        <v>58</v>
      </c>
      <c r="C11" s="2" t="s">
        <v>423</v>
      </c>
      <c r="D11" s="2" t="s">
        <v>417</v>
      </c>
      <c r="E11" s="2" t="s">
        <v>395</v>
      </c>
      <c r="F11" s="2" t="s">
        <v>16</v>
      </c>
      <c r="G11" s="2" t="s">
        <v>396</v>
      </c>
      <c r="H11" s="2" t="s">
        <v>397</v>
      </c>
      <c r="I11" s="2" t="s">
        <v>424</v>
      </c>
      <c r="J11" s="2" t="s">
        <v>425</v>
      </c>
    </row>
    <row r="12" spans="2:10" ht="58" x14ac:dyDescent="0.35">
      <c r="B12" s="2" t="s">
        <v>58</v>
      </c>
      <c r="C12" s="2" t="s">
        <v>426</v>
      </c>
      <c r="D12" s="2" t="s">
        <v>427</v>
      </c>
      <c r="E12" s="2" t="s">
        <v>428</v>
      </c>
      <c r="F12" s="2" t="s">
        <v>10</v>
      </c>
      <c r="G12" s="2" t="s">
        <v>402</v>
      </c>
      <c r="H12" s="2" t="s">
        <v>57</v>
      </c>
      <c r="I12" s="2" t="s">
        <v>398</v>
      </c>
      <c r="J12" s="2" t="s">
        <v>429</v>
      </c>
    </row>
    <row r="13" spans="2:10" ht="72.5" x14ac:dyDescent="0.35">
      <c r="B13" s="2" t="s">
        <v>59</v>
      </c>
      <c r="C13" s="12">
        <v>46028</v>
      </c>
      <c r="D13" s="2" t="s">
        <v>430</v>
      </c>
      <c r="E13" s="2" t="s">
        <v>431</v>
      </c>
      <c r="F13" s="2" t="s">
        <v>33</v>
      </c>
      <c r="G13" s="2" t="s">
        <v>432</v>
      </c>
      <c r="H13" s="2" t="s">
        <v>433</v>
      </c>
      <c r="I13" s="2" t="s">
        <v>408</v>
      </c>
      <c r="J13" s="2" t="s">
        <v>434</v>
      </c>
    </row>
    <row r="14" spans="2:10" ht="58" x14ac:dyDescent="0.35">
      <c r="B14" s="2" t="s">
        <v>59</v>
      </c>
      <c r="C14" s="12">
        <v>46240</v>
      </c>
      <c r="D14" s="2" t="s">
        <v>435</v>
      </c>
      <c r="E14" s="2" t="s">
        <v>436</v>
      </c>
      <c r="F14" s="2" t="s">
        <v>40</v>
      </c>
      <c r="G14" s="2" t="s">
        <v>437</v>
      </c>
      <c r="H14" s="2" t="s">
        <v>433</v>
      </c>
      <c r="I14" s="2" t="s">
        <v>416</v>
      </c>
      <c r="J14" s="2" t="s">
        <v>438</v>
      </c>
    </row>
    <row r="15" spans="2:10" ht="43.5" x14ac:dyDescent="0.35">
      <c r="B15" s="2" t="s">
        <v>60</v>
      </c>
      <c r="C15" s="12">
        <v>46029</v>
      </c>
      <c r="D15" s="2" t="s">
        <v>439</v>
      </c>
      <c r="E15" s="2" t="s">
        <v>440</v>
      </c>
      <c r="F15" s="2" t="s">
        <v>43</v>
      </c>
      <c r="G15" s="2" t="s">
        <v>441</v>
      </c>
      <c r="H15" s="2" t="s">
        <v>442</v>
      </c>
      <c r="I15" s="2" t="s">
        <v>443</v>
      </c>
      <c r="J15" s="2" t="s">
        <v>444</v>
      </c>
    </row>
    <row r="16" spans="2:10" ht="87" x14ac:dyDescent="0.35">
      <c r="B16" s="2" t="s">
        <v>60</v>
      </c>
      <c r="C16" s="2" t="s">
        <v>445</v>
      </c>
      <c r="D16" s="2" t="s">
        <v>446</v>
      </c>
      <c r="E16" s="2" t="s">
        <v>447</v>
      </c>
      <c r="F16" s="2" t="s">
        <v>35</v>
      </c>
      <c r="G16" s="2" t="s">
        <v>432</v>
      </c>
      <c r="H16" s="2" t="s">
        <v>433</v>
      </c>
      <c r="I16" s="2" t="s">
        <v>448</v>
      </c>
      <c r="J16" s="2" t="s">
        <v>449</v>
      </c>
    </row>
    <row r="17" spans="2:10" ht="58" x14ac:dyDescent="0.35">
      <c r="B17" s="2" t="s">
        <v>60</v>
      </c>
      <c r="C17" s="2" t="s">
        <v>445</v>
      </c>
      <c r="D17" s="2" t="s">
        <v>450</v>
      </c>
      <c r="E17" s="2" t="s">
        <v>451</v>
      </c>
      <c r="F17" s="2" t="s">
        <v>20</v>
      </c>
      <c r="G17" s="2" t="s">
        <v>402</v>
      </c>
      <c r="H17" s="2" t="s">
        <v>57</v>
      </c>
      <c r="I17" s="2" t="s">
        <v>403</v>
      </c>
      <c r="J17" s="2" t="s">
        <v>452</v>
      </c>
    </row>
    <row r="18" spans="2:10" ht="29" x14ac:dyDescent="0.35">
      <c r="B18" s="2" t="s">
        <v>60</v>
      </c>
      <c r="C18" s="2" t="s">
        <v>453</v>
      </c>
      <c r="D18" s="2" t="s">
        <v>450</v>
      </c>
      <c r="E18" s="2" t="s">
        <v>454</v>
      </c>
      <c r="F18" s="2" t="s">
        <v>31</v>
      </c>
      <c r="G18" s="2" t="s">
        <v>455</v>
      </c>
      <c r="H18" s="2" t="s">
        <v>397</v>
      </c>
      <c r="I18" s="2" t="s">
        <v>403</v>
      </c>
      <c r="J18" s="2" t="s">
        <v>456</v>
      </c>
    </row>
    <row r="19" spans="2:10" ht="29" x14ac:dyDescent="0.35">
      <c r="B19" s="2" t="s">
        <v>60</v>
      </c>
      <c r="C19" s="2" t="s">
        <v>457</v>
      </c>
      <c r="D19" s="12">
        <v>46089</v>
      </c>
      <c r="E19" s="2" t="s">
        <v>458</v>
      </c>
      <c r="F19" s="2" t="s">
        <v>32</v>
      </c>
      <c r="G19" s="2" t="s">
        <v>402</v>
      </c>
      <c r="H19" s="2" t="s">
        <v>57</v>
      </c>
      <c r="I19" s="2" t="s">
        <v>408</v>
      </c>
      <c r="J19" s="2" t="s">
        <v>459</v>
      </c>
    </row>
    <row r="20" spans="2:10" ht="29" x14ac:dyDescent="0.35">
      <c r="B20" s="2" t="s">
        <v>60</v>
      </c>
      <c r="C20" s="2" t="s">
        <v>460</v>
      </c>
      <c r="D20" s="12">
        <v>46334</v>
      </c>
      <c r="E20" s="2" t="s">
        <v>461</v>
      </c>
      <c r="F20" s="2" t="s">
        <v>41</v>
      </c>
      <c r="G20" s="2" t="s">
        <v>437</v>
      </c>
      <c r="H20" s="2" t="s">
        <v>433</v>
      </c>
      <c r="I20" s="2" t="s">
        <v>403</v>
      </c>
      <c r="J20" s="2" t="s">
        <v>462</v>
      </c>
    </row>
    <row r="21" spans="2:10" ht="58" x14ac:dyDescent="0.35">
      <c r="B21" s="2" t="s">
        <v>61</v>
      </c>
      <c r="C21" s="12" t="s">
        <v>463</v>
      </c>
      <c r="D21" s="12">
        <v>46243</v>
      </c>
      <c r="E21" s="2" t="s">
        <v>464</v>
      </c>
      <c r="F21" s="2" t="s">
        <v>28</v>
      </c>
      <c r="G21" s="2" t="s">
        <v>465</v>
      </c>
      <c r="H21" s="2" t="s">
        <v>57</v>
      </c>
      <c r="I21" s="2" t="s">
        <v>466</v>
      </c>
      <c r="J21" s="2" t="s">
        <v>467</v>
      </c>
    </row>
    <row r="22" spans="2:10" ht="43.5" x14ac:dyDescent="0.35">
      <c r="B22" s="2" t="s">
        <v>61</v>
      </c>
      <c r="C22" s="12">
        <v>46089</v>
      </c>
      <c r="D22" s="2" t="s">
        <v>468</v>
      </c>
      <c r="E22" s="2" t="s">
        <v>469</v>
      </c>
      <c r="F22" s="2" t="s">
        <v>17</v>
      </c>
      <c r="G22" s="2" t="s">
        <v>402</v>
      </c>
      <c r="H22" s="2" t="s">
        <v>57</v>
      </c>
      <c r="I22" s="2" t="s">
        <v>403</v>
      </c>
      <c r="J22" s="2" t="s">
        <v>470</v>
      </c>
    </row>
    <row r="23" spans="2:10" ht="72.5" x14ac:dyDescent="0.35">
      <c r="B23" s="2" t="s">
        <v>61</v>
      </c>
      <c r="C23" s="12">
        <v>46089</v>
      </c>
      <c r="D23" s="2" t="s">
        <v>471</v>
      </c>
      <c r="E23" s="2" t="s">
        <v>411</v>
      </c>
      <c r="F23" s="2" t="s">
        <v>22</v>
      </c>
      <c r="G23" s="2" t="s">
        <v>402</v>
      </c>
      <c r="H23" s="2" t="s">
        <v>57</v>
      </c>
      <c r="I23" s="2" t="s">
        <v>416</v>
      </c>
      <c r="J23" s="2" t="s">
        <v>470</v>
      </c>
    </row>
    <row r="24" spans="2:10" ht="58" x14ac:dyDescent="0.35">
      <c r="B24" s="2" t="s">
        <v>61</v>
      </c>
      <c r="C24" s="12">
        <v>46303</v>
      </c>
      <c r="D24" s="2" t="s">
        <v>472</v>
      </c>
      <c r="E24" s="2" t="s">
        <v>473</v>
      </c>
      <c r="F24" s="2" t="s">
        <v>30</v>
      </c>
      <c r="G24" s="2" t="s">
        <v>402</v>
      </c>
      <c r="H24" s="2" t="s">
        <v>57</v>
      </c>
      <c r="I24" s="2" t="s">
        <v>403</v>
      </c>
      <c r="J24" s="2" t="s">
        <v>474</v>
      </c>
    </row>
    <row r="25" spans="2:10" ht="29" x14ac:dyDescent="0.35">
      <c r="B25" s="2" t="s">
        <v>61</v>
      </c>
      <c r="C25" s="2" t="s">
        <v>471</v>
      </c>
      <c r="D25" s="2" t="s">
        <v>475</v>
      </c>
      <c r="E25" s="2" t="s">
        <v>418</v>
      </c>
      <c r="F25" s="2" t="s">
        <v>26</v>
      </c>
      <c r="G25" s="2" t="s">
        <v>402</v>
      </c>
      <c r="H25" s="2" t="s">
        <v>57</v>
      </c>
      <c r="I25" s="2" t="s">
        <v>416</v>
      </c>
      <c r="J25" s="2" t="s">
        <v>474</v>
      </c>
    </row>
    <row r="26" spans="2:10" ht="58" x14ac:dyDescent="0.35">
      <c r="B26" s="2" t="s">
        <v>61</v>
      </c>
      <c r="C26" s="2" t="s">
        <v>476</v>
      </c>
      <c r="D26" s="12">
        <v>46243</v>
      </c>
      <c r="E26" s="2" t="s">
        <v>477</v>
      </c>
      <c r="F26" s="2" t="s">
        <v>37</v>
      </c>
      <c r="G26" s="2" t="s">
        <v>437</v>
      </c>
      <c r="H26" s="2" t="s">
        <v>433</v>
      </c>
      <c r="I26" s="2" t="s">
        <v>416</v>
      </c>
      <c r="J26" s="2" t="s">
        <v>478</v>
      </c>
    </row>
    <row r="27" spans="2:10" ht="58" x14ac:dyDescent="0.35">
      <c r="B27" s="2" t="s">
        <v>62</v>
      </c>
      <c r="C27" s="2" t="s">
        <v>479</v>
      </c>
      <c r="D27" s="2" t="s">
        <v>479</v>
      </c>
      <c r="E27" s="2" t="s">
        <v>480</v>
      </c>
      <c r="F27" s="2" t="s">
        <v>481</v>
      </c>
      <c r="G27" s="2" t="s">
        <v>481</v>
      </c>
      <c r="H27" s="2" t="s">
        <v>482</v>
      </c>
      <c r="I27" s="2">
        <v>0</v>
      </c>
      <c r="J27" s="2" t="s">
        <v>483</v>
      </c>
    </row>
    <row r="28" spans="2:10" ht="58" x14ac:dyDescent="0.35">
      <c r="B28" s="2" t="s">
        <v>63</v>
      </c>
      <c r="C28" s="12">
        <v>46366</v>
      </c>
      <c r="D28" s="2" t="s">
        <v>484</v>
      </c>
      <c r="E28" s="2" t="s">
        <v>485</v>
      </c>
      <c r="F28" s="2" t="s">
        <v>24</v>
      </c>
      <c r="G28" s="2" t="s">
        <v>402</v>
      </c>
      <c r="H28" s="2" t="s">
        <v>57</v>
      </c>
      <c r="I28" s="2" t="s">
        <v>408</v>
      </c>
      <c r="J28" s="2" t="s">
        <v>486</v>
      </c>
    </row>
    <row r="29" spans="2:10" ht="43.5" x14ac:dyDescent="0.35">
      <c r="B29" s="2" t="s">
        <v>64</v>
      </c>
      <c r="C29" s="12">
        <v>46064</v>
      </c>
      <c r="D29" s="12">
        <v>46093</v>
      </c>
      <c r="E29" s="2" t="s">
        <v>487</v>
      </c>
      <c r="F29" s="2" t="s">
        <v>39</v>
      </c>
      <c r="G29" s="2" t="s">
        <v>488</v>
      </c>
      <c r="H29" s="2" t="s">
        <v>442</v>
      </c>
      <c r="I29" s="2" t="s">
        <v>448</v>
      </c>
      <c r="J29" s="2" t="s">
        <v>489</v>
      </c>
    </row>
    <row r="30" spans="2:10" ht="43.5" x14ac:dyDescent="0.35">
      <c r="B30" s="2" t="s">
        <v>64</v>
      </c>
      <c r="C30" s="2" t="s">
        <v>490</v>
      </c>
      <c r="D30" s="2" t="s">
        <v>491</v>
      </c>
      <c r="E30" s="2" t="s">
        <v>492</v>
      </c>
      <c r="F30" s="2" t="s">
        <v>19</v>
      </c>
      <c r="G30" s="2" t="s">
        <v>396</v>
      </c>
      <c r="H30" s="2" t="s">
        <v>397</v>
      </c>
      <c r="I30" s="2" t="s">
        <v>493</v>
      </c>
      <c r="J30" s="2" t="s">
        <v>494</v>
      </c>
    </row>
    <row r="31" spans="2:10" ht="58" x14ac:dyDescent="0.35">
      <c r="B31" s="2" t="s">
        <v>65</v>
      </c>
      <c r="C31" s="12">
        <v>46307</v>
      </c>
      <c r="D31" s="2" t="s">
        <v>495</v>
      </c>
      <c r="E31" s="2" t="s">
        <v>496</v>
      </c>
      <c r="F31" s="2" t="s">
        <v>12</v>
      </c>
      <c r="G31" s="2" t="s">
        <v>396</v>
      </c>
      <c r="H31" s="2" t="s">
        <v>397</v>
      </c>
      <c r="I31" s="2" t="s">
        <v>497</v>
      </c>
      <c r="J31" s="2" t="s">
        <v>498</v>
      </c>
    </row>
    <row r="32" spans="2:10" ht="58" x14ac:dyDescent="0.35">
      <c r="B32" s="2" t="s">
        <v>65</v>
      </c>
      <c r="C32" s="2" t="s">
        <v>499</v>
      </c>
      <c r="D32" s="2" t="s">
        <v>491</v>
      </c>
      <c r="E32" s="2" t="s">
        <v>428</v>
      </c>
      <c r="F32" s="2" t="s">
        <v>10</v>
      </c>
      <c r="G32" s="2" t="s">
        <v>402</v>
      </c>
      <c r="H32" s="2" t="s">
        <v>57</v>
      </c>
      <c r="I32" s="2" t="s">
        <v>408</v>
      </c>
      <c r="J32" s="2" t="s">
        <v>500</v>
      </c>
    </row>
    <row r="33" spans="2:10" ht="29" x14ac:dyDescent="0.35">
      <c r="B33" s="2" t="s">
        <v>65</v>
      </c>
      <c r="C33" s="2" t="s">
        <v>501</v>
      </c>
      <c r="D33" s="2" t="s">
        <v>491</v>
      </c>
      <c r="E33" s="2" t="s">
        <v>458</v>
      </c>
      <c r="F33" s="2" t="s">
        <v>32</v>
      </c>
      <c r="G33" s="2" t="s">
        <v>402</v>
      </c>
      <c r="H33" s="2" t="s">
        <v>57</v>
      </c>
      <c r="I33" s="2" t="s">
        <v>416</v>
      </c>
      <c r="J33" s="2" t="s">
        <v>500</v>
      </c>
    </row>
    <row r="34" spans="2:10" ht="58" x14ac:dyDescent="0.35">
      <c r="B34" s="2" t="s">
        <v>65</v>
      </c>
      <c r="C34" s="2" t="s">
        <v>501</v>
      </c>
      <c r="D34" s="2" t="s">
        <v>491</v>
      </c>
      <c r="E34" s="2" t="s">
        <v>395</v>
      </c>
      <c r="F34" s="2" t="s">
        <v>16</v>
      </c>
      <c r="G34" s="2" t="s">
        <v>396</v>
      </c>
      <c r="H34" s="2" t="s">
        <v>397</v>
      </c>
      <c r="I34" s="2" t="s">
        <v>403</v>
      </c>
      <c r="J34" s="2" t="s">
        <v>500</v>
      </c>
    </row>
    <row r="35" spans="2:10" ht="58" x14ac:dyDescent="0.35">
      <c r="B35" s="2" t="s">
        <v>65</v>
      </c>
      <c r="C35" s="2" t="s">
        <v>501</v>
      </c>
      <c r="D35" s="12">
        <v>46539</v>
      </c>
      <c r="E35" s="2" t="s">
        <v>502</v>
      </c>
      <c r="F35" s="2" t="s">
        <v>38</v>
      </c>
      <c r="G35" s="2" t="s">
        <v>437</v>
      </c>
      <c r="H35" s="2" t="s">
        <v>433</v>
      </c>
      <c r="I35" s="2" t="s">
        <v>408</v>
      </c>
      <c r="J35" s="2" t="s">
        <v>503</v>
      </c>
    </row>
    <row r="36" spans="2:10" ht="58" x14ac:dyDescent="0.35">
      <c r="B36" s="2" t="s">
        <v>65</v>
      </c>
      <c r="C36" s="2" t="s">
        <v>504</v>
      </c>
      <c r="D36" s="12">
        <v>46600</v>
      </c>
      <c r="E36" s="2" t="s">
        <v>464</v>
      </c>
      <c r="F36" s="2" t="s">
        <v>28</v>
      </c>
      <c r="G36" s="2" t="s">
        <v>465</v>
      </c>
      <c r="H36" s="2" t="s">
        <v>57</v>
      </c>
      <c r="I36" s="2" t="s">
        <v>466</v>
      </c>
      <c r="J36" s="2" t="s">
        <v>503</v>
      </c>
    </row>
    <row r="37" spans="2:10" ht="29" x14ac:dyDescent="0.35">
      <c r="B37" s="2" t="s">
        <v>65</v>
      </c>
      <c r="C37" s="2" t="s">
        <v>504</v>
      </c>
      <c r="D37" s="12">
        <v>46569</v>
      </c>
      <c r="E37" s="2" t="s">
        <v>415</v>
      </c>
      <c r="F37" s="2" t="s">
        <v>14</v>
      </c>
      <c r="G37" s="2" t="s">
        <v>402</v>
      </c>
      <c r="H37" s="2" t="s">
        <v>57</v>
      </c>
      <c r="I37" s="2" t="s">
        <v>408</v>
      </c>
      <c r="J37" s="2" t="s">
        <v>503</v>
      </c>
    </row>
    <row r="38" spans="2:10" ht="58" x14ac:dyDescent="0.35">
      <c r="B38" s="2" t="s">
        <v>65</v>
      </c>
      <c r="C38" s="2" t="s">
        <v>504</v>
      </c>
      <c r="D38" s="12">
        <v>46388</v>
      </c>
      <c r="E38" s="2" t="s">
        <v>473</v>
      </c>
      <c r="F38" s="2" t="s">
        <v>30</v>
      </c>
      <c r="G38" s="2" t="s">
        <v>402</v>
      </c>
      <c r="H38" s="2" t="s">
        <v>57</v>
      </c>
      <c r="I38" s="2" t="s">
        <v>416</v>
      </c>
      <c r="J38" s="2" t="s">
        <v>503</v>
      </c>
    </row>
    <row r="39" spans="2:10" ht="72.5" x14ac:dyDescent="0.35">
      <c r="B39" s="2" t="s">
        <v>65</v>
      </c>
      <c r="C39" s="2" t="s">
        <v>504</v>
      </c>
      <c r="D39" s="12">
        <v>46388</v>
      </c>
      <c r="E39" s="2" t="s">
        <v>411</v>
      </c>
      <c r="F39" s="2" t="s">
        <v>22</v>
      </c>
      <c r="G39" s="2" t="s">
        <v>402</v>
      </c>
      <c r="H39" s="2" t="s">
        <v>57</v>
      </c>
      <c r="I39" s="2" t="s">
        <v>416</v>
      </c>
      <c r="J39" s="2" t="s">
        <v>503</v>
      </c>
    </row>
    <row r="40" spans="2:10" ht="29" x14ac:dyDescent="0.35">
      <c r="B40" s="2" t="s">
        <v>65</v>
      </c>
      <c r="C40" s="2" t="s">
        <v>504</v>
      </c>
      <c r="D40" s="12">
        <v>46539</v>
      </c>
      <c r="E40" s="2" t="s">
        <v>454</v>
      </c>
      <c r="F40" s="2" t="s">
        <v>31</v>
      </c>
      <c r="G40" s="2" t="s">
        <v>455</v>
      </c>
      <c r="H40" s="2" t="s">
        <v>397</v>
      </c>
      <c r="I40" s="2" t="s">
        <v>403</v>
      </c>
      <c r="J40" s="2" t="s">
        <v>503</v>
      </c>
    </row>
    <row r="41" spans="2:10" ht="72.5" x14ac:dyDescent="0.35">
      <c r="B41" s="2" t="s">
        <v>65</v>
      </c>
      <c r="C41" s="2" t="s">
        <v>505</v>
      </c>
      <c r="D41" s="2" t="s">
        <v>506</v>
      </c>
      <c r="E41" s="2" t="s">
        <v>431</v>
      </c>
      <c r="F41" s="2" t="s">
        <v>33</v>
      </c>
      <c r="G41" s="2" t="s">
        <v>432</v>
      </c>
      <c r="H41" s="2" t="s">
        <v>433</v>
      </c>
      <c r="I41" s="2" t="s">
        <v>507</v>
      </c>
      <c r="J41" s="2" t="s">
        <v>508</v>
      </c>
    </row>
    <row r="42" spans="2:10" ht="58" x14ac:dyDescent="0.35">
      <c r="B42" s="2" t="s">
        <v>65</v>
      </c>
      <c r="C42" s="2" t="s">
        <v>509</v>
      </c>
      <c r="D42" s="2" t="s">
        <v>510</v>
      </c>
      <c r="E42" s="2" t="s">
        <v>436</v>
      </c>
      <c r="F42" s="2" t="s">
        <v>40</v>
      </c>
      <c r="G42" s="2" t="s">
        <v>437</v>
      </c>
      <c r="H42" s="2" t="s">
        <v>433</v>
      </c>
      <c r="I42" s="2" t="s">
        <v>408</v>
      </c>
      <c r="J42" s="2" t="s">
        <v>503</v>
      </c>
    </row>
    <row r="43" spans="2:10" ht="58" x14ac:dyDescent="0.35">
      <c r="B43" s="2" t="s">
        <v>65</v>
      </c>
      <c r="C43" s="2" t="s">
        <v>509</v>
      </c>
      <c r="D43" s="2" t="s">
        <v>510</v>
      </c>
      <c r="E43" s="2" t="s">
        <v>511</v>
      </c>
      <c r="F43" s="2" t="s">
        <v>36</v>
      </c>
      <c r="G43" s="2" t="s">
        <v>437</v>
      </c>
      <c r="H43" s="2" t="s">
        <v>433</v>
      </c>
      <c r="I43" s="2" t="s">
        <v>408</v>
      </c>
      <c r="J43" s="2" t="s">
        <v>503</v>
      </c>
    </row>
    <row r="44" spans="2:10" ht="43.5" x14ac:dyDescent="0.35">
      <c r="B44" s="2" t="s">
        <v>65</v>
      </c>
      <c r="C44" s="2" t="s">
        <v>505</v>
      </c>
      <c r="D44" s="12">
        <v>46600</v>
      </c>
      <c r="E44" s="2" t="s">
        <v>469</v>
      </c>
      <c r="F44" s="2" t="s">
        <v>17</v>
      </c>
      <c r="G44" s="2" t="s">
        <v>402</v>
      </c>
      <c r="H44" s="2" t="s">
        <v>57</v>
      </c>
      <c r="I44" s="2" t="s">
        <v>403</v>
      </c>
      <c r="J44" s="2" t="s">
        <v>503</v>
      </c>
    </row>
    <row r="45" spans="2:10" ht="29" x14ac:dyDescent="0.35">
      <c r="B45" s="2" t="s">
        <v>65</v>
      </c>
      <c r="C45" s="2" t="s">
        <v>505</v>
      </c>
      <c r="D45" s="12">
        <v>46600</v>
      </c>
      <c r="E45" s="2" t="s">
        <v>405</v>
      </c>
      <c r="F45" s="2" t="s">
        <v>21</v>
      </c>
      <c r="G45" s="2" t="s">
        <v>402</v>
      </c>
      <c r="H45" s="2" t="s">
        <v>57</v>
      </c>
      <c r="I45" s="2" t="s">
        <v>403</v>
      </c>
      <c r="J45" s="2" t="s">
        <v>503</v>
      </c>
    </row>
    <row r="46" spans="2:10" ht="58" x14ac:dyDescent="0.35">
      <c r="B46" s="2" t="s">
        <v>65</v>
      </c>
      <c r="C46" s="2" t="s">
        <v>505</v>
      </c>
      <c r="D46" s="2" t="s">
        <v>512</v>
      </c>
      <c r="E46" s="2" t="s">
        <v>477</v>
      </c>
      <c r="F46" s="2" t="s">
        <v>37</v>
      </c>
      <c r="G46" s="2" t="s">
        <v>437</v>
      </c>
      <c r="H46" s="2" t="s">
        <v>433</v>
      </c>
      <c r="I46" s="2" t="s">
        <v>408</v>
      </c>
      <c r="J46" s="2" t="s">
        <v>503</v>
      </c>
    </row>
    <row r="47" spans="2:10" ht="29" x14ac:dyDescent="0.35">
      <c r="B47" s="2" t="s">
        <v>65</v>
      </c>
      <c r="C47" s="2" t="s">
        <v>513</v>
      </c>
      <c r="D47" s="12">
        <v>46508</v>
      </c>
      <c r="E47" s="2" t="s">
        <v>418</v>
      </c>
      <c r="F47" s="2" t="s">
        <v>26</v>
      </c>
      <c r="G47" s="2" t="s">
        <v>402</v>
      </c>
      <c r="H47" s="2" t="s">
        <v>57</v>
      </c>
      <c r="I47" s="2" t="s">
        <v>419</v>
      </c>
      <c r="J47" s="2" t="s">
        <v>503</v>
      </c>
    </row>
    <row r="48" spans="2:10" ht="43.5" x14ac:dyDescent="0.35">
      <c r="B48" s="2" t="s">
        <v>65</v>
      </c>
      <c r="C48" s="2" t="s">
        <v>513</v>
      </c>
      <c r="D48" s="12">
        <v>46600</v>
      </c>
      <c r="E48" s="2" t="s">
        <v>407</v>
      </c>
      <c r="F48" s="2" t="s">
        <v>29</v>
      </c>
      <c r="G48" s="2" t="s">
        <v>402</v>
      </c>
      <c r="H48" s="2" t="s">
        <v>57</v>
      </c>
      <c r="I48" s="2" t="s">
        <v>416</v>
      </c>
      <c r="J48" s="2" t="s">
        <v>503</v>
      </c>
    </row>
    <row r="49" spans="2:10" ht="29" x14ac:dyDescent="0.35">
      <c r="B49" s="2" t="s">
        <v>65</v>
      </c>
      <c r="C49" s="2" t="s">
        <v>513</v>
      </c>
      <c r="D49" s="2" t="s">
        <v>512</v>
      </c>
      <c r="E49" s="2" t="s">
        <v>461</v>
      </c>
      <c r="F49" s="2" t="s">
        <v>41</v>
      </c>
      <c r="G49" s="2" t="s">
        <v>437</v>
      </c>
      <c r="H49" s="2" t="s">
        <v>433</v>
      </c>
      <c r="I49" s="2" t="s">
        <v>408</v>
      </c>
      <c r="J49" s="2" t="s">
        <v>503</v>
      </c>
    </row>
    <row r="50" spans="2:10" ht="43.5" x14ac:dyDescent="0.35">
      <c r="B50" s="2" t="s">
        <v>65</v>
      </c>
      <c r="C50" s="2" t="s">
        <v>513</v>
      </c>
      <c r="D50" s="2" t="s">
        <v>514</v>
      </c>
      <c r="E50" s="2" t="s">
        <v>515</v>
      </c>
      <c r="F50" s="2" t="s">
        <v>18</v>
      </c>
      <c r="G50" s="2" t="s">
        <v>455</v>
      </c>
      <c r="H50" s="2" t="s">
        <v>397</v>
      </c>
      <c r="I50" s="2" t="s">
        <v>516</v>
      </c>
      <c r="J50" s="2" t="s">
        <v>517</v>
      </c>
    </row>
    <row r="51" spans="2:10" ht="43.5" x14ac:dyDescent="0.35">
      <c r="B51" s="2" t="s">
        <v>65</v>
      </c>
      <c r="C51" s="2" t="s">
        <v>491</v>
      </c>
      <c r="D51" s="12">
        <v>46420</v>
      </c>
      <c r="E51" s="2" t="s">
        <v>518</v>
      </c>
      <c r="F51" s="2" t="s">
        <v>27</v>
      </c>
      <c r="G51" s="2" t="s">
        <v>402</v>
      </c>
      <c r="H51" s="2" t="s">
        <v>57</v>
      </c>
      <c r="I51" s="2" t="s">
        <v>448</v>
      </c>
      <c r="J51" s="2" t="s">
        <v>519</v>
      </c>
    </row>
    <row r="52" spans="2:10" ht="58" x14ac:dyDescent="0.35">
      <c r="B52" s="2" t="s">
        <v>65</v>
      </c>
      <c r="C52" s="2" t="s">
        <v>513</v>
      </c>
      <c r="D52" s="12">
        <v>46539</v>
      </c>
      <c r="E52" s="2" t="s">
        <v>421</v>
      </c>
      <c r="F52" s="2" t="s">
        <v>15</v>
      </c>
      <c r="G52" s="2" t="s">
        <v>402</v>
      </c>
      <c r="H52" s="2" t="s">
        <v>57</v>
      </c>
      <c r="I52" s="2" t="s">
        <v>419</v>
      </c>
      <c r="J52" s="2"/>
    </row>
    <row r="53" spans="2:10" ht="58" x14ac:dyDescent="0.35">
      <c r="B53" s="2" t="s">
        <v>65</v>
      </c>
      <c r="C53" s="2" t="s">
        <v>491</v>
      </c>
      <c r="D53" s="12">
        <v>46420</v>
      </c>
      <c r="E53" s="2" t="s">
        <v>520</v>
      </c>
      <c r="F53" s="2" t="s">
        <v>23</v>
      </c>
      <c r="G53" s="2" t="s">
        <v>402</v>
      </c>
      <c r="H53" s="2" t="s">
        <v>57</v>
      </c>
      <c r="I53" s="2" t="s">
        <v>448</v>
      </c>
      <c r="J53" s="2" t="s">
        <v>519</v>
      </c>
    </row>
  </sheetData>
  <autoFilter ref="B2:J53" xr:uid="{8581F95C-2DD8-49BB-B525-A02DA9E3EC92}"/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D05AB-4A3A-4794-B40C-4FA501026AC1}">
  <dimension ref="B2:F47"/>
  <sheetViews>
    <sheetView workbookViewId="0">
      <selection activeCell="F7" sqref="F7"/>
    </sheetView>
  </sheetViews>
  <sheetFormatPr baseColWidth="10" defaultColWidth="8.7265625" defaultRowHeight="15" customHeight="1" x14ac:dyDescent="0.35"/>
  <cols>
    <col min="2" max="2" width="15.7265625" customWidth="1"/>
    <col min="4" max="4" width="19.453125" customWidth="1"/>
    <col min="5" max="5" width="24.26953125" customWidth="1"/>
    <col min="6" max="6" width="24.54296875" customWidth="1"/>
  </cols>
  <sheetData>
    <row r="2" spans="2:6" x14ac:dyDescent="0.35">
      <c r="B2" s="29" t="s">
        <v>44</v>
      </c>
      <c r="C2" s="29" t="s">
        <v>66</v>
      </c>
      <c r="D2" s="29" t="s">
        <v>521</v>
      </c>
      <c r="E2" s="29" t="s">
        <v>522</v>
      </c>
      <c r="F2" s="34" t="s">
        <v>523</v>
      </c>
    </row>
    <row r="3" spans="2:6" x14ac:dyDescent="0.35">
      <c r="B3" s="30" t="s">
        <v>524</v>
      </c>
      <c r="C3" s="30" t="s">
        <v>83</v>
      </c>
      <c r="D3" s="30" t="s">
        <v>46</v>
      </c>
      <c r="E3" s="30">
        <v>1</v>
      </c>
      <c r="F3" s="37"/>
    </row>
    <row r="4" spans="2:6" x14ac:dyDescent="0.35">
      <c r="B4" s="30" t="s">
        <v>524</v>
      </c>
      <c r="C4" s="30" t="s">
        <v>83</v>
      </c>
      <c r="D4" s="30" t="s">
        <v>47</v>
      </c>
      <c r="E4" s="30">
        <v>1</v>
      </c>
      <c r="F4" s="37"/>
    </row>
    <row r="5" spans="2:6" x14ac:dyDescent="0.35">
      <c r="B5" s="30" t="s">
        <v>524</v>
      </c>
      <c r="C5" s="30" t="s">
        <v>83</v>
      </c>
      <c r="D5" s="30" t="s">
        <v>525</v>
      </c>
      <c r="E5" s="30">
        <v>2</v>
      </c>
      <c r="F5" s="37"/>
    </row>
    <row r="6" spans="2:6" x14ac:dyDescent="0.35">
      <c r="B6" s="30" t="s">
        <v>524</v>
      </c>
      <c r="C6" s="30" t="s">
        <v>100</v>
      </c>
      <c r="D6" s="30" t="s">
        <v>46</v>
      </c>
      <c r="E6" s="30">
        <v>1</v>
      </c>
      <c r="F6" s="35">
        <v>1</v>
      </c>
    </row>
    <row r="7" spans="2:6" x14ac:dyDescent="0.35">
      <c r="B7" s="30" t="s">
        <v>524</v>
      </c>
      <c r="C7" s="30" t="s">
        <v>100</v>
      </c>
      <c r="D7" s="30" t="s">
        <v>47</v>
      </c>
      <c r="E7" s="30">
        <v>1</v>
      </c>
      <c r="F7" s="37"/>
    </row>
    <row r="8" spans="2:6" x14ac:dyDescent="0.35">
      <c r="B8" s="30" t="s">
        <v>524</v>
      </c>
      <c r="C8" s="30" t="s">
        <v>100</v>
      </c>
      <c r="D8" s="30" t="s">
        <v>525</v>
      </c>
      <c r="E8" s="30">
        <v>1</v>
      </c>
      <c r="F8" s="37"/>
    </row>
    <row r="9" spans="2:6" x14ac:dyDescent="0.35">
      <c r="B9" s="30" t="s">
        <v>524</v>
      </c>
      <c r="C9" s="30" t="s">
        <v>110</v>
      </c>
      <c r="D9" s="30" t="s">
        <v>46</v>
      </c>
      <c r="E9" s="30">
        <v>1</v>
      </c>
      <c r="F9" s="37"/>
    </row>
    <row r="10" spans="2:6" x14ac:dyDescent="0.35">
      <c r="B10" s="30" t="s">
        <v>524</v>
      </c>
      <c r="C10" s="30" t="s">
        <v>110</v>
      </c>
      <c r="D10" s="30" t="s">
        <v>47</v>
      </c>
      <c r="E10" s="30">
        <v>1</v>
      </c>
      <c r="F10" s="35">
        <v>1</v>
      </c>
    </row>
    <row r="11" spans="2:6" x14ac:dyDescent="0.35">
      <c r="B11" s="30" t="s">
        <v>524</v>
      </c>
      <c r="C11" s="30" t="s">
        <v>110</v>
      </c>
      <c r="D11" s="30" t="s">
        <v>526</v>
      </c>
      <c r="E11" s="30">
        <v>1</v>
      </c>
      <c r="F11" s="37"/>
    </row>
    <row r="12" spans="2:6" x14ac:dyDescent="0.35">
      <c r="B12" s="30" t="s">
        <v>527</v>
      </c>
      <c r="C12" s="30" t="s">
        <v>139</v>
      </c>
      <c r="D12" s="30" t="s">
        <v>46</v>
      </c>
      <c r="E12" s="30">
        <v>1</v>
      </c>
      <c r="F12" s="35">
        <v>1</v>
      </c>
    </row>
    <row r="13" spans="2:6" x14ac:dyDescent="0.35">
      <c r="B13" s="30" t="s">
        <v>527</v>
      </c>
      <c r="C13" s="30" t="s">
        <v>139</v>
      </c>
      <c r="D13" s="30" t="s">
        <v>47</v>
      </c>
      <c r="E13" s="30">
        <v>1</v>
      </c>
      <c r="F13" s="37"/>
    </row>
    <row r="14" spans="2:6" x14ac:dyDescent="0.35">
      <c r="B14" s="30" t="s">
        <v>527</v>
      </c>
      <c r="C14" s="30" t="s">
        <v>153</v>
      </c>
      <c r="D14" s="30" t="s">
        <v>46</v>
      </c>
      <c r="E14" s="30">
        <v>3</v>
      </c>
      <c r="F14" s="35">
        <v>1</v>
      </c>
    </row>
    <row r="15" spans="2:6" x14ac:dyDescent="0.35">
      <c r="B15" s="30" t="s">
        <v>527</v>
      </c>
      <c r="C15" s="30" t="s">
        <v>153</v>
      </c>
      <c r="D15" s="30" t="s">
        <v>47</v>
      </c>
      <c r="E15" s="30">
        <v>1</v>
      </c>
      <c r="F15" s="37"/>
    </row>
    <row r="16" spans="2:6" x14ac:dyDescent="0.35">
      <c r="B16" s="30" t="s">
        <v>527</v>
      </c>
      <c r="C16" s="30" t="s">
        <v>163</v>
      </c>
      <c r="D16" s="30" t="s">
        <v>46</v>
      </c>
      <c r="E16" s="30">
        <v>1</v>
      </c>
      <c r="F16" s="35">
        <v>1</v>
      </c>
    </row>
    <row r="17" spans="2:6" x14ac:dyDescent="0.35">
      <c r="B17" s="30" t="s">
        <v>527</v>
      </c>
      <c r="C17" s="30" t="s">
        <v>163</v>
      </c>
      <c r="D17" s="30" t="s">
        <v>47</v>
      </c>
      <c r="E17" s="30">
        <v>1</v>
      </c>
      <c r="F17" s="37"/>
    </row>
    <row r="18" spans="2:6" x14ac:dyDescent="0.35">
      <c r="B18" s="30" t="s">
        <v>528</v>
      </c>
      <c r="C18" s="30" t="s">
        <v>179</v>
      </c>
      <c r="D18" s="30" t="s">
        <v>46</v>
      </c>
      <c r="E18" s="30">
        <v>2</v>
      </c>
      <c r="F18" s="37"/>
    </row>
    <row r="19" spans="2:6" x14ac:dyDescent="0.35">
      <c r="B19" s="30" t="s">
        <v>528</v>
      </c>
      <c r="C19" s="30" t="s">
        <v>179</v>
      </c>
      <c r="D19" s="30" t="s">
        <v>529</v>
      </c>
      <c r="E19" s="30">
        <v>2</v>
      </c>
      <c r="F19" s="37"/>
    </row>
    <row r="20" spans="2:6" x14ac:dyDescent="0.35">
      <c r="B20" s="30" t="s">
        <v>528</v>
      </c>
      <c r="C20" s="30" t="s">
        <v>191</v>
      </c>
      <c r="D20" s="30" t="s">
        <v>46</v>
      </c>
      <c r="E20" s="36"/>
      <c r="F20" s="35">
        <v>1</v>
      </c>
    </row>
    <row r="21" spans="2:6" x14ac:dyDescent="0.35">
      <c r="B21" s="30" t="s">
        <v>528</v>
      </c>
      <c r="C21" s="30" t="s">
        <v>191</v>
      </c>
      <c r="D21" s="30" t="s">
        <v>47</v>
      </c>
      <c r="E21" s="30">
        <v>1</v>
      </c>
      <c r="F21" s="37"/>
    </row>
    <row r="22" spans="2:6" x14ac:dyDescent="0.35">
      <c r="B22" s="30" t="s">
        <v>528</v>
      </c>
      <c r="C22" s="30" t="s">
        <v>191</v>
      </c>
      <c r="D22" s="30" t="s">
        <v>526</v>
      </c>
      <c r="E22" s="30">
        <v>2</v>
      </c>
      <c r="F22" s="37"/>
    </row>
    <row r="23" spans="2:6" x14ac:dyDescent="0.35">
      <c r="B23" s="30" t="s">
        <v>530</v>
      </c>
      <c r="C23" s="30" t="s">
        <v>224</v>
      </c>
      <c r="D23" s="30" t="s">
        <v>46</v>
      </c>
      <c r="E23" s="30">
        <v>2</v>
      </c>
      <c r="F23" s="37"/>
    </row>
    <row r="24" spans="2:6" x14ac:dyDescent="0.35">
      <c r="B24" s="30" t="s">
        <v>530</v>
      </c>
      <c r="C24" s="30" t="s">
        <v>224</v>
      </c>
      <c r="D24" s="30" t="s">
        <v>525</v>
      </c>
      <c r="E24" s="30">
        <v>2</v>
      </c>
      <c r="F24" s="37"/>
    </row>
    <row r="25" spans="2:6" x14ac:dyDescent="0.35">
      <c r="B25" s="30" t="s">
        <v>530</v>
      </c>
      <c r="C25" s="30" t="s">
        <v>233</v>
      </c>
      <c r="D25" s="30" t="s">
        <v>46</v>
      </c>
      <c r="E25" s="30">
        <v>2</v>
      </c>
      <c r="F25" s="35">
        <v>1</v>
      </c>
    </row>
    <row r="26" spans="2:6" x14ac:dyDescent="0.35">
      <c r="B26" s="30" t="s">
        <v>531</v>
      </c>
      <c r="C26" s="30" t="s">
        <v>239</v>
      </c>
      <c r="D26" s="30" t="s">
        <v>46</v>
      </c>
      <c r="E26" s="30">
        <v>2</v>
      </c>
      <c r="F26" s="35">
        <v>1</v>
      </c>
    </row>
    <row r="27" spans="2:6" x14ac:dyDescent="0.35">
      <c r="B27" s="30" t="s">
        <v>531</v>
      </c>
      <c r="C27" s="30" t="s">
        <v>239</v>
      </c>
      <c r="D27" s="30" t="s">
        <v>526</v>
      </c>
      <c r="E27" s="30">
        <v>1</v>
      </c>
      <c r="F27" s="37"/>
    </row>
    <row r="28" spans="2:6" x14ac:dyDescent="0.35">
      <c r="B28" s="30" t="s">
        <v>531</v>
      </c>
      <c r="C28" s="30" t="s">
        <v>249</v>
      </c>
      <c r="D28" s="30" t="s">
        <v>47</v>
      </c>
      <c r="E28" s="36"/>
      <c r="F28" s="35">
        <v>1</v>
      </c>
    </row>
    <row r="29" spans="2:6" x14ac:dyDescent="0.35">
      <c r="B29" s="30" t="s">
        <v>531</v>
      </c>
      <c r="C29" s="30" t="s">
        <v>249</v>
      </c>
      <c r="D29" s="30" t="s">
        <v>46</v>
      </c>
      <c r="E29" s="30">
        <v>2</v>
      </c>
      <c r="F29" s="37"/>
    </row>
    <row r="30" spans="2:6" x14ac:dyDescent="0.35">
      <c r="B30" s="30" t="s">
        <v>531</v>
      </c>
      <c r="C30" s="30" t="s">
        <v>249</v>
      </c>
      <c r="D30" s="30" t="s">
        <v>526</v>
      </c>
      <c r="E30" s="30">
        <v>2</v>
      </c>
      <c r="F30" s="37"/>
    </row>
    <row r="31" spans="2:6" x14ac:dyDescent="0.35">
      <c r="B31" s="30" t="s">
        <v>531</v>
      </c>
      <c r="C31" s="30" t="s">
        <v>264</v>
      </c>
      <c r="D31" s="30" t="s">
        <v>46</v>
      </c>
      <c r="E31" s="30">
        <v>2</v>
      </c>
      <c r="F31" s="37"/>
    </row>
    <row r="32" spans="2:6" x14ac:dyDescent="0.35">
      <c r="B32" s="30" t="s">
        <v>531</v>
      </c>
      <c r="C32" s="30" t="s">
        <v>269</v>
      </c>
      <c r="D32" s="30" t="s">
        <v>46</v>
      </c>
      <c r="E32" s="30">
        <v>2</v>
      </c>
      <c r="F32" s="35">
        <v>1</v>
      </c>
    </row>
    <row r="33" spans="2:6" x14ac:dyDescent="0.35">
      <c r="B33" s="30" t="s">
        <v>532</v>
      </c>
      <c r="C33" s="30" t="s">
        <v>276</v>
      </c>
      <c r="D33" s="30" t="s">
        <v>46</v>
      </c>
      <c r="E33" s="30">
        <v>2</v>
      </c>
      <c r="F33" s="35">
        <v>1</v>
      </c>
    </row>
    <row r="34" spans="2:6" x14ac:dyDescent="0.35">
      <c r="B34" s="30" t="s">
        <v>532</v>
      </c>
      <c r="C34" s="30" t="s">
        <v>283</v>
      </c>
      <c r="D34" s="30" t="s">
        <v>47</v>
      </c>
      <c r="E34" s="36"/>
      <c r="F34" s="35">
        <v>1</v>
      </c>
    </row>
    <row r="35" spans="2:6" x14ac:dyDescent="0.35">
      <c r="B35" s="30" t="s">
        <v>532</v>
      </c>
      <c r="C35" s="30" t="s">
        <v>293</v>
      </c>
      <c r="D35" s="30" t="s">
        <v>46</v>
      </c>
      <c r="E35" s="30">
        <v>2</v>
      </c>
      <c r="F35" s="37"/>
    </row>
    <row r="36" spans="2:6" x14ac:dyDescent="0.35">
      <c r="B36" s="30" t="s">
        <v>532</v>
      </c>
      <c r="C36" s="30" t="s">
        <v>298</v>
      </c>
      <c r="D36" s="30" t="s">
        <v>46</v>
      </c>
      <c r="E36" s="30">
        <v>2</v>
      </c>
      <c r="F36" s="35">
        <v>1</v>
      </c>
    </row>
    <row r="37" spans="2:6" x14ac:dyDescent="0.35">
      <c r="B37" s="30" t="s">
        <v>532</v>
      </c>
      <c r="C37" s="30" t="s">
        <v>298</v>
      </c>
      <c r="D37" s="30" t="s">
        <v>529</v>
      </c>
      <c r="E37" s="30">
        <v>1</v>
      </c>
      <c r="F37" s="37"/>
    </row>
    <row r="38" spans="2:6" x14ac:dyDescent="0.35">
      <c r="B38" s="30" t="s">
        <v>533</v>
      </c>
      <c r="C38" s="30" t="s">
        <v>305</v>
      </c>
      <c r="D38" s="30" t="s">
        <v>46</v>
      </c>
      <c r="E38" s="30">
        <v>3</v>
      </c>
      <c r="F38" s="35">
        <v>1</v>
      </c>
    </row>
    <row r="39" spans="2:6" x14ac:dyDescent="0.35">
      <c r="B39" s="30" t="s">
        <v>533</v>
      </c>
      <c r="C39" s="30" t="s">
        <v>312</v>
      </c>
      <c r="D39" s="30" t="s">
        <v>46</v>
      </c>
      <c r="E39" s="30">
        <v>4</v>
      </c>
      <c r="F39" s="35">
        <v>1</v>
      </c>
    </row>
    <row r="40" spans="2:6" x14ac:dyDescent="0.35">
      <c r="B40" s="30" t="s">
        <v>533</v>
      </c>
      <c r="C40" s="30" t="s">
        <v>322</v>
      </c>
      <c r="D40" s="30" t="s">
        <v>46</v>
      </c>
      <c r="E40" s="30">
        <v>2</v>
      </c>
      <c r="F40" s="37"/>
    </row>
    <row r="41" spans="2:6" x14ac:dyDescent="0.35">
      <c r="B41" s="30" t="s">
        <v>533</v>
      </c>
      <c r="C41" s="30" t="s">
        <v>327</v>
      </c>
      <c r="D41" s="30" t="s">
        <v>46</v>
      </c>
      <c r="E41" s="30">
        <v>2</v>
      </c>
      <c r="F41" s="35">
        <v>1</v>
      </c>
    </row>
    <row r="42" spans="2:6" x14ac:dyDescent="0.35">
      <c r="B42" s="30" t="s">
        <v>534</v>
      </c>
      <c r="C42" s="30" t="s">
        <v>333</v>
      </c>
      <c r="D42" s="30" t="s">
        <v>46</v>
      </c>
      <c r="E42" s="30">
        <v>3</v>
      </c>
      <c r="F42" s="35">
        <v>1</v>
      </c>
    </row>
    <row r="43" spans="2:6" x14ac:dyDescent="0.35">
      <c r="B43" s="30" t="s">
        <v>534</v>
      </c>
      <c r="C43" s="30" t="s">
        <v>340</v>
      </c>
      <c r="D43" s="30" t="s">
        <v>46</v>
      </c>
      <c r="E43" s="30">
        <v>2</v>
      </c>
      <c r="F43" s="35">
        <v>1</v>
      </c>
    </row>
    <row r="44" spans="2:6" x14ac:dyDescent="0.35">
      <c r="B44" s="30" t="s">
        <v>534</v>
      </c>
      <c r="C44" s="30" t="s">
        <v>352</v>
      </c>
      <c r="D44" s="30" t="s">
        <v>46</v>
      </c>
      <c r="E44" s="30">
        <v>2</v>
      </c>
      <c r="F44" s="35">
        <v>1</v>
      </c>
    </row>
    <row r="45" spans="2:6" x14ac:dyDescent="0.35">
      <c r="B45" s="30" t="s">
        <v>535</v>
      </c>
      <c r="C45" s="30" t="s">
        <v>358</v>
      </c>
      <c r="D45" s="30" t="s">
        <v>46</v>
      </c>
      <c r="E45" s="36"/>
      <c r="F45" s="35">
        <v>1</v>
      </c>
    </row>
    <row r="46" spans="2:6" x14ac:dyDescent="0.35">
      <c r="B46" s="30" t="s">
        <v>535</v>
      </c>
      <c r="C46" s="30" t="s">
        <v>358</v>
      </c>
      <c r="D46" s="30" t="s">
        <v>47</v>
      </c>
      <c r="E46" s="30">
        <v>1</v>
      </c>
      <c r="F46" s="37"/>
    </row>
    <row r="47" spans="2:6" x14ac:dyDescent="0.35">
      <c r="B47" s="30" t="s">
        <v>535</v>
      </c>
      <c r="C47" s="30" t="s">
        <v>364</v>
      </c>
      <c r="D47" s="30" t="s">
        <v>46</v>
      </c>
      <c r="E47" s="30">
        <v>2</v>
      </c>
      <c r="F47" s="37"/>
    </row>
  </sheetData>
  <autoFilter ref="B2:F47" xr:uid="{7DFD05AB-4A3A-4794-B40C-4FA501026AC1}">
    <sortState xmlns:xlrd2="http://schemas.microsoft.com/office/spreadsheetml/2017/richdata2" ref="B3:F47">
      <sortCondition ref="C2:C47"/>
    </sortState>
  </autoFilter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FD211C819215444AA7208370CBDC769" ma:contentTypeVersion="16" ma:contentTypeDescription="Create a new document." ma:contentTypeScope="" ma:versionID="dd1158c46e462050b0c76ce3ec4307ec">
  <xsd:schema xmlns:xsd="http://www.w3.org/2001/XMLSchema" xmlns:xs="http://www.w3.org/2001/XMLSchema" xmlns:p="http://schemas.microsoft.com/office/2006/metadata/properties" xmlns:ns2="6ce2c007-e96b-45fe-9b30-b10f6f7e2de4" xmlns:ns3="546c55cd-c85c-4a3b-bba5-99ed83d76029" targetNamespace="http://schemas.microsoft.com/office/2006/metadata/properties" ma:root="true" ma:fieldsID="26abd1405b77f4cb195f1b1c35038efc" ns2:_="" ns3:_="">
    <xsd:import namespace="6ce2c007-e96b-45fe-9b30-b10f6f7e2de4"/>
    <xsd:import namespace="546c55cd-c85c-4a3b-bba5-99ed83d7602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e2c007-e96b-45fe-9b30-b10f6f7e2de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933c58bb-8ac9-4943-8120-a6ea7461a3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6c55cd-c85c-4a3b-bba5-99ed83d76029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93893f95-ab1b-4754-b704-655a56433c13}" ma:internalName="TaxCatchAll" ma:showField="CatchAllData" ma:web="546c55cd-c85c-4a3b-bba5-99ed83d7602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e2c007-e96b-45fe-9b30-b10f6f7e2de4">
      <Terms xmlns="http://schemas.microsoft.com/office/infopath/2007/PartnerControls"/>
    </lcf76f155ced4ddcb4097134ff3c332f>
    <TaxCatchAll xmlns="546c55cd-c85c-4a3b-bba5-99ed83d76029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AAD75DA-A836-4706-A90B-0435AD18BF3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e2c007-e96b-45fe-9b30-b10f6f7e2de4"/>
    <ds:schemaRef ds:uri="546c55cd-c85c-4a3b-bba5-99ed83d7602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7EF6F652-A934-405D-B074-891ECBC08C08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2767121-D1F0-4216-856F-2FD81C76FE22}">
  <ds:schemaRefs>
    <ds:schemaRef ds:uri="http://schemas.microsoft.com/office/2006/metadata/properties"/>
    <ds:schemaRef ds:uri="http://schemas.microsoft.com/office/infopath/2007/PartnerControls"/>
    <ds:schemaRef ds:uri="6ce2c007-e96b-45fe-9b30-b10f6f7e2de4"/>
    <ds:schemaRef ds:uri="546c55cd-c85c-4a3b-bba5-99ed83d76029"/>
  </ds:schemaRefs>
</ds:datastoreItem>
</file>

<file path=customXml/itemProps4.xml><?xml version="1.0" encoding="utf-8"?>
<ds:datastoreItem xmlns:ds="http://schemas.openxmlformats.org/officeDocument/2006/customXml" ds:itemID="{6ABB3FD7-2FA8-4CA0-99CC-92F5A350D35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13</vt:i4>
      </vt:variant>
    </vt:vector>
  </HeadingPairs>
  <TitlesOfParts>
    <vt:vector size="13" baseType="lpstr">
      <vt:lpstr>Charge par inspecteur</vt:lpstr>
      <vt:lpstr>Global</vt:lpstr>
      <vt:lpstr>Avril</vt:lpstr>
      <vt:lpstr>Mai</vt:lpstr>
      <vt:lpstr>Juin</vt:lpstr>
      <vt:lpstr>Juillet</vt:lpstr>
      <vt:lpstr>Aout</vt:lpstr>
      <vt:lpstr>Septembre</vt:lpstr>
      <vt:lpstr>Octobre</vt:lpstr>
      <vt:lpstr>Novembre</vt:lpstr>
      <vt:lpstr>Decembre</vt:lpstr>
      <vt:lpstr>Congés</vt:lpstr>
      <vt:lpstr>Synthèse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AGBANOU A. Narcisse Dègnon [ ABMed ]</dc:creator>
  <cp:keywords/>
  <dc:description/>
  <cp:lastModifiedBy>Josias AHOGA [ABMed]</cp:lastModifiedBy>
  <cp:revision/>
  <dcterms:created xsi:type="dcterms:W3CDTF">2026-03-14T08:47:01Z</dcterms:created>
  <dcterms:modified xsi:type="dcterms:W3CDTF">2026-04-02T09:52:19Z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0x0101007FD211C819215444AA7208370CBDC769</vt:lpwstr>
  </property>
</Properties>
</file>